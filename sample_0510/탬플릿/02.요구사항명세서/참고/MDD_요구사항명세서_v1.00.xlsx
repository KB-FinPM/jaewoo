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023709\Desktop\요구사항추적표\"/>
    </mc:Choice>
  </mc:AlternateContent>
  <bookViews>
    <workbookView xWindow="240" yWindow="135" windowWidth="11760" windowHeight="9060" tabRatio="609" activeTab="3"/>
  </bookViews>
  <sheets>
    <sheet name="표지" sheetId="14" r:id="rId1"/>
    <sheet name="개정이력" sheetId="15" r:id="rId2"/>
    <sheet name="(요건분리 전)요구사항명세서" sheetId="47" state="hidden" r:id="rId3"/>
    <sheet name="요구사항명세서" sheetId="50" r:id="rId4"/>
    <sheet name="피벗_SUMMAY(현황)" sheetId="51" r:id="rId5"/>
    <sheet name="피벗_SUMMARY(기능_비기능)" sheetId="52" r:id="rId6"/>
    <sheet name="작성가이드" sheetId="30" r:id="rId7"/>
    <sheet name="※(요약)확정현황" sheetId="38" state="hidden" r:id="rId8"/>
    <sheet name="(참고)요구사항ID채번" sheetId="35" state="hidden" r:id="rId9"/>
    <sheet name="감리제출용" sheetId="45" state="hidden" r:id="rId10"/>
  </sheets>
  <definedNames>
    <definedName name="_xlnm._FilterDatabase" localSheetId="2" hidden="1">'(요건분리 전)요구사항명세서'!$A$1:$Y$32</definedName>
    <definedName name="_xlnm._FilterDatabase" localSheetId="9" hidden="1">감리제출용!$A$1:$AJ$287</definedName>
    <definedName name="_xlnm._FilterDatabase" localSheetId="3" hidden="1">요구사항명세서!$A$1:$T$149</definedName>
    <definedName name="_xlnm.Print_Area" localSheetId="6">작성가이드!$A$1:$L$174</definedName>
    <definedName name="_xlnm.Print_Titles" localSheetId="3">요구사항명세서!$1:$1</definedName>
  </definedNames>
  <calcPr calcId="162913"/>
  <pivotCaches>
    <pivotCache cacheId="0" r:id="rId11"/>
  </pivotCaches>
</workbook>
</file>

<file path=xl/calcChain.xml><?xml version="1.0" encoding="utf-8"?>
<calcChain xmlns="http://schemas.openxmlformats.org/spreadsheetml/2006/main">
  <c r="G6" i="38" l="1"/>
  <c r="G7" i="38"/>
  <c r="G8" i="38"/>
  <c r="G9" i="38"/>
  <c r="G10" i="38"/>
  <c r="G5" i="38"/>
  <c r="G11" i="38" l="1"/>
  <c r="F5" i="38"/>
  <c r="F6" i="38"/>
  <c r="F7" i="38"/>
  <c r="F8" i="38"/>
  <c r="F9" i="38"/>
  <c r="F10" i="38"/>
  <c r="F11" i="38" l="1"/>
  <c r="C10" i="38" l="1"/>
  <c r="D10" i="38"/>
  <c r="E10" i="38"/>
  <c r="H10" i="38"/>
  <c r="I10" i="38" l="1"/>
  <c r="J10" i="38" s="1"/>
  <c r="C5" i="38"/>
  <c r="K10" i="38" l="1"/>
  <c r="H6" i="38" l="1"/>
  <c r="P6" i="38" s="1"/>
  <c r="H7" i="38"/>
  <c r="P7" i="38" s="1"/>
  <c r="H8" i="38"/>
  <c r="P8" i="38" s="1"/>
  <c r="H9" i="38"/>
  <c r="P9" i="38" s="1"/>
  <c r="E6" i="38"/>
  <c r="O6" i="38" s="1"/>
  <c r="E7" i="38"/>
  <c r="O7" i="38" s="1"/>
  <c r="E8" i="38"/>
  <c r="O8" i="38" s="1"/>
  <c r="E9" i="38"/>
  <c r="O9" i="38" s="1"/>
  <c r="D6" i="38"/>
  <c r="N6" i="38" s="1"/>
  <c r="D7" i="38"/>
  <c r="N7" i="38" s="1"/>
  <c r="D8" i="38"/>
  <c r="N8" i="38" s="1"/>
  <c r="D9" i="38"/>
  <c r="N9" i="38" s="1"/>
  <c r="C6" i="38"/>
  <c r="C7" i="38"/>
  <c r="C8" i="38"/>
  <c r="C9" i="38"/>
  <c r="H5" i="38"/>
  <c r="E5" i="38"/>
  <c r="D5" i="38"/>
  <c r="I5" i="38" l="1"/>
  <c r="J5" i="38" s="1"/>
  <c r="M9" i="38"/>
  <c r="I9" i="38"/>
  <c r="Q9" i="38" s="1"/>
  <c r="M8" i="38"/>
  <c r="I8" i="38"/>
  <c r="Q8" i="38" s="1"/>
  <c r="I7" i="38"/>
  <c r="Q7" i="38" s="1"/>
  <c r="I6" i="38"/>
  <c r="Q6" i="38" s="1"/>
  <c r="P5" i="38"/>
  <c r="P11" i="38" s="1"/>
  <c r="H11" i="38"/>
  <c r="N5" i="38"/>
  <c r="N11" i="38" s="1"/>
  <c r="D11" i="38"/>
  <c r="O5" i="38"/>
  <c r="O11" i="38" s="1"/>
  <c r="E11" i="38"/>
  <c r="C11" i="38"/>
  <c r="M5" i="38"/>
  <c r="M7" i="38"/>
  <c r="M6" i="38"/>
  <c r="J8" i="38" l="1"/>
  <c r="R8" i="38" s="1"/>
  <c r="J6" i="38"/>
  <c r="R6" i="38" s="1"/>
  <c r="J7" i="38"/>
  <c r="R7" i="38" s="1"/>
  <c r="J9" i="38"/>
  <c r="R9" i="38" s="1"/>
  <c r="I11" i="38"/>
  <c r="J11" i="38" s="1"/>
  <c r="R5" i="38"/>
  <c r="Q5" i="38"/>
  <c r="Q11" i="38" s="1"/>
  <c r="K7" i="38"/>
  <c r="S7" i="38" s="1"/>
  <c r="K9" i="38"/>
  <c r="S9" i="38" s="1"/>
  <c r="K8" i="38"/>
  <c r="S8" i="38" s="1"/>
  <c r="M11" i="38"/>
  <c r="K5" i="38"/>
  <c r="S5" i="38" s="1"/>
  <c r="K6" i="38"/>
  <c r="S6" i="38" s="1"/>
  <c r="K11" i="38" l="1"/>
  <c r="S11" i="38" s="1"/>
  <c r="R11" i="38"/>
</calcChain>
</file>

<file path=xl/comments1.xml><?xml version="1.0" encoding="utf-8"?>
<comments xmlns="http://schemas.openxmlformats.org/spreadsheetml/2006/main">
  <authors>
    <author>강문희</author>
    <author>Administrator</author>
  </authors>
  <commentList>
    <comment ref="L1" authorId="0" shapeId="0">
      <text>
        <r>
          <rPr>
            <b/>
            <sz val="9"/>
            <color indexed="81"/>
            <rFont val="돋움"/>
            <family val="3"/>
            <charset val="129"/>
          </rPr>
          <t>요구사항처리담당팀:수행사처리팀작성</t>
        </r>
      </text>
    </comment>
    <comment ref="K2"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4"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5"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6"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7"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8"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9"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0"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1"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2"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3"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4"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5"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6"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7"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8"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9"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0"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1"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2"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3"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4"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5"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6"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7"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8"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9"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0"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1"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2" authorId="1" shapeId="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List>
</comments>
</file>

<file path=xl/comments2.xml><?xml version="1.0" encoding="utf-8"?>
<comments xmlns="http://schemas.openxmlformats.org/spreadsheetml/2006/main">
  <authors>
    <author>강문희</author>
    <author>AutoAdmin</author>
  </authors>
  <commentList>
    <comment ref="N1" authorId="0" shapeId="0">
      <text>
        <r>
          <rPr>
            <b/>
            <sz val="9"/>
            <color indexed="81"/>
            <rFont val="돋움"/>
            <family val="3"/>
            <charset val="129"/>
          </rPr>
          <t>요구사항처리담당팀:수행사처리팀작성</t>
        </r>
      </text>
    </comment>
    <comment ref="O1" authorId="1" shapeId="0">
      <text>
        <r>
          <rPr>
            <b/>
            <sz val="9"/>
            <color indexed="81"/>
            <rFont val="Tahoma"/>
            <family val="2"/>
          </rPr>
          <t>1)</t>
        </r>
        <r>
          <rPr>
            <b/>
            <sz val="9"/>
            <color indexed="81"/>
            <rFont val="돋움"/>
            <family val="3"/>
            <charset val="129"/>
          </rPr>
          <t xml:space="preserve">승인
</t>
        </r>
        <r>
          <rPr>
            <b/>
            <sz val="9"/>
            <color indexed="81"/>
            <rFont val="Tahoma"/>
            <family val="2"/>
          </rPr>
          <t>2)</t>
        </r>
        <r>
          <rPr>
            <b/>
            <sz val="9"/>
            <color indexed="81"/>
            <rFont val="돋움"/>
            <family val="3"/>
            <charset val="129"/>
          </rPr>
          <t xml:space="preserve">조건부승인
</t>
        </r>
        <r>
          <rPr>
            <b/>
            <sz val="9"/>
            <color indexed="81"/>
            <rFont val="Tahoma"/>
            <family val="2"/>
          </rPr>
          <t>3)</t>
        </r>
        <r>
          <rPr>
            <b/>
            <sz val="9"/>
            <color indexed="81"/>
            <rFont val="돋움"/>
            <family val="3"/>
            <charset val="129"/>
          </rPr>
          <t>거부</t>
        </r>
      </text>
    </comment>
    <comment ref="S1" authorId="1" shapeId="0">
      <text>
        <r>
          <rPr>
            <sz val="9"/>
            <color indexed="81"/>
            <rFont val="돋움"/>
            <family val="3"/>
            <charset val="129"/>
          </rPr>
          <t>검토상태</t>
        </r>
        <r>
          <rPr>
            <sz val="9"/>
            <color indexed="81"/>
            <rFont val="Tahoma"/>
            <family val="2"/>
          </rPr>
          <t xml:space="preserve"> </t>
        </r>
        <r>
          <rPr>
            <sz val="9"/>
            <color indexed="81"/>
            <rFont val="돋움"/>
            <family val="3"/>
            <charset val="129"/>
          </rPr>
          <t>거부</t>
        </r>
        <r>
          <rPr>
            <sz val="9"/>
            <color indexed="81"/>
            <rFont val="Tahoma"/>
            <family val="2"/>
          </rPr>
          <t xml:space="preserve"> </t>
        </r>
        <r>
          <rPr>
            <sz val="9"/>
            <color indexed="81"/>
            <rFont val="돋움"/>
            <family val="3"/>
            <charset val="129"/>
          </rPr>
          <t>일때는</t>
        </r>
        <r>
          <rPr>
            <sz val="9"/>
            <color indexed="81"/>
            <rFont val="Tahoma"/>
            <family val="2"/>
          </rPr>
          <t xml:space="preserve"> </t>
        </r>
        <r>
          <rPr>
            <sz val="9"/>
            <color indexed="81"/>
            <rFont val="돋움"/>
            <family val="3"/>
            <charset val="129"/>
          </rPr>
          <t>반드시</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기재필수</t>
        </r>
        <r>
          <rPr>
            <sz val="9"/>
            <color indexed="81"/>
            <rFont val="Tahoma"/>
            <family val="2"/>
          </rPr>
          <t xml:space="preserve">
</t>
        </r>
      </text>
    </comment>
    <comment ref="K57" authorId="1" shapeId="0">
      <text>
        <r>
          <rPr>
            <b/>
            <sz val="9"/>
            <color indexed="81"/>
            <rFont val="돋움"/>
            <family val="3"/>
            <charset val="129"/>
          </rPr>
          <t>위험요인의에</t>
        </r>
        <r>
          <rPr>
            <b/>
            <sz val="9"/>
            <color indexed="81"/>
            <rFont val="Tahoma"/>
            <family val="2"/>
          </rPr>
          <t xml:space="preserve"> </t>
        </r>
        <r>
          <rPr>
            <b/>
            <sz val="9"/>
            <color indexed="81"/>
            <rFont val="돋움"/>
            <family val="3"/>
            <charset val="129"/>
          </rPr>
          <t>대한</t>
        </r>
        <r>
          <rPr>
            <b/>
            <sz val="9"/>
            <color indexed="81"/>
            <rFont val="Tahoma"/>
            <family val="2"/>
          </rPr>
          <t xml:space="preserve"> </t>
        </r>
        <r>
          <rPr>
            <b/>
            <sz val="9"/>
            <color indexed="81"/>
            <rFont val="돋움"/>
            <family val="3"/>
            <charset val="129"/>
          </rPr>
          <t>수행업무인지</t>
        </r>
        <r>
          <rPr>
            <b/>
            <sz val="9"/>
            <color indexed="81"/>
            <rFont val="Tahoma"/>
            <family val="2"/>
          </rPr>
          <t xml:space="preserve">?
</t>
        </r>
        <r>
          <rPr>
            <b/>
            <sz val="9"/>
            <color indexed="81"/>
            <rFont val="돋움"/>
            <family val="3"/>
            <charset val="129"/>
          </rPr>
          <t>위험요인과</t>
        </r>
        <r>
          <rPr>
            <b/>
            <sz val="9"/>
            <color indexed="81"/>
            <rFont val="Tahoma"/>
            <family val="2"/>
          </rPr>
          <t xml:space="preserve"> </t>
        </r>
        <r>
          <rPr>
            <b/>
            <sz val="9"/>
            <color indexed="81"/>
            <rFont val="돋움"/>
            <family val="3"/>
            <charset val="129"/>
          </rPr>
          <t>수행업무별도인지</t>
        </r>
        <r>
          <rPr>
            <b/>
            <sz val="9"/>
            <color indexed="81"/>
            <rFont val="Tahoma"/>
            <family val="2"/>
          </rPr>
          <t xml:space="preserve">?
</t>
        </r>
        <r>
          <rPr>
            <b/>
            <sz val="9"/>
            <color indexed="81"/>
            <rFont val="돋움"/>
            <family val="3"/>
            <charset val="129"/>
          </rPr>
          <t>위험요인</t>
        </r>
        <r>
          <rPr>
            <b/>
            <sz val="9"/>
            <color indexed="81"/>
            <rFont val="Tahoma"/>
            <family val="2"/>
          </rPr>
          <t xml:space="preserve"> -</t>
        </r>
        <r>
          <rPr>
            <b/>
            <sz val="9"/>
            <color indexed="81"/>
            <rFont val="돋움"/>
            <family val="3"/>
            <charset val="129"/>
          </rPr>
          <t>위험요일</t>
        </r>
        <r>
          <rPr>
            <b/>
            <sz val="9"/>
            <color indexed="81"/>
            <rFont val="Tahoma"/>
            <family val="2"/>
          </rPr>
          <t xml:space="preserve"> </t>
        </r>
        <r>
          <rPr>
            <b/>
            <sz val="9"/>
            <color indexed="81"/>
            <rFont val="돋움"/>
            <family val="3"/>
            <charset val="129"/>
          </rPr>
          <t>세부항목
수행업무</t>
        </r>
        <r>
          <rPr>
            <b/>
            <sz val="9"/>
            <color indexed="81"/>
            <rFont val="Tahoma"/>
            <family val="2"/>
          </rPr>
          <t xml:space="preserve"> - </t>
        </r>
        <r>
          <rPr>
            <b/>
            <sz val="9"/>
            <color indexed="81"/>
            <rFont val="돋움"/>
            <family val="3"/>
            <charset val="129"/>
          </rPr>
          <t>수행업무</t>
        </r>
        <r>
          <rPr>
            <b/>
            <sz val="9"/>
            <color indexed="81"/>
            <rFont val="Tahoma"/>
            <family val="2"/>
          </rPr>
          <t xml:space="preserve"> </t>
        </r>
        <r>
          <rPr>
            <b/>
            <sz val="9"/>
            <color indexed="81"/>
            <rFont val="돋움"/>
            <family val="3"/>
            <charset val="129"/>
          </rPr>
          <t>세부항목</t>
        </r>
      </text>
    </comment>
    <comment ref="A86" authorId="1" shapeId="0">
      <text>
        <r>
          <rPr>
            <sz val="9"/>
            <color indexed="81"/>
            <rFont val="돋움"/>
            <family val="3"/>
            <charset val="129"/>
          </rPr>
          <t>김고운</t>
        </r>
        <r>
          <rPr>
            <sz val="9"/>
            <color indexed="81"/>
            <rFont val="Tahoma"/>
            <family val="2"/>
          </rPr>
          <t xml:space="preserve"> </t>
        </r>
        <r>
          <rPr>
            <sz val="9"/>
            <color indexed="81"/>
            <rFont val="돋움"/>
            <family val="3"/>
            <charset val="129"/>
          </rPr>
          <t>감사역</t>
        </r>
        <r>
          <rPr>
            <sz val="9"/>
            <color indexed="81"/>
            <rFont val="Tahoma"/>
            <family val="2"/>
          </rPr>
          <t>(</t>
        </r>
        <r>
          <rPr>
            <sz val="9"/>
            <color indexed="81"/>
            <rFont val="돋움"/>
            <family val="3"/>
            <charset val="129"/>
          </rPr>
          <t>디지털감사</t>
        </r>
        <r>
          <rPr>
            <sz val="9"/>
            <color indexed="81"/>
            <rFont val="Tahoma"/>
            <family val="2"/>
          </rPr>
          <t>)</t>
        </r>
        <r>
          <rPr>
            <sz val="9"/>
            <color indexed="81"/>
            <rFont val="돋움"/>
            <family val="3"/>
            <charset val="129"/>
          </rPr>
          <t xml:space="preserve">
김윤희</t>
        </r>
        <r>
          <rPr>
            <sz val="9"/>
            <color indexed="81"/>
            <rFont val="Tahoma"/>
            <family val="2"/>
          </rPr>
          <t xml:space="preserve"> </t>
        </r>
        <r>
          <rPr>
            <sz val="9"/>
            <color indexed="81"/>
            <rFont val="돋움"/>
            <family val="3"/>
            <charset val="129"/>
          </rPr>
          <t>감사역</t>
        </r>
        <r>
          <rPr>
            <sz val="9"/>
            <color indexed="81"/>
            <rFont val="Tahoma"/>
            <family val="2"/>
          </rPr>
          <t>(</t>
        </r>
        <r>
          <rPr>
            <sz val="9"/>
            <color indexed="81"/>
            <rFont val="돋움"/>
            <family val="3"/>
            <charset val="129"/>
          </rPr>
          <t>감사기획부</t>
        </r>
        <r>
          <rPr>
            <sz val="9"/>
            <color indexed="81"/>
            <rFont val="Tahoma"/>
            <family val="2"/>
          </rPr>
          <t>)</t>
        </r>
        <r>
          <rPr>
            <sz val="9"/>
            <color indexed="81"/>
            <rFont val="돋움"/>
            <family val="3"/>
            <charset val="129"/>
          </rPr>
          <t xml:space="preserve">
최진호</t>
        </r>
        <r>
          <rPr>
            <sz val="9"/>
            <color indexed="81"/>
            <rFont val="Tahoma"/>
            <family val="2"/>
          </rPr>
          <t xml:space="preserve"> </t>
        </r>
        <r>
          <rPr>
            <sz val="9"/>
            <color indexed="81"/>
            <rFont val="돋움"/>
            <family val="3"/>
            <charset val="129"/>
          </rPr>
          <t>감사역</t>
        </r>
        <r>
          <rPr>
            <sz val="9"/>
            <color indexed="81"/>
            <rFont val="Tahoma"/>
            <family val="2"/>
          </rPr>
          <t>(</t>
        </r>
        <r>
          <rPr>
            <sz val="9"/>
            <color indexed="81"/>
            <rFont val="돋움"/>
            <family val="3"/>
            <charset val="129"/>
          </rPr>
          <t>감사기획부</t>
        </r>
        <r>
          <rPr>
            <sz val="9"/>
            <color indexed="81"/>
            <rFont val="Tahoma"/>
            <family val="2"/>
          </rPr>
          <t xml:space="preserve">)
</t>
        </r>
      </text>
    </comment>
  </commentList>
</comments>
</file>

<file path=xl/comments3.xml><?xml version="1.0" encoding="utf-8"?>
<comments xmlns="http://schemas.openxmlformats.org/spreadsheetml/2006/main">
  <authors>
    <author>강문희</author>
  </authors>
  <commentList>
    <comment ref="L1" authorId="0" shapeId="0">
      <text>
        <r>
          <rPr>
            <b/>
            <sz val="9"/>
            <color indexed="81"/>
            <rFont val="돋움"/>
            <family val="3"/>
            <charset val="129"/>
          </rPr>
          <t>요구사항처리담당팀:수행사처리팀작성</t>
        </r>
      </text>
    </comment>
  </commentList>
</comments>
</file>

<file path=xl/sharedStrings.xml><?xml version="1.0" encoding="utf-8"?>
<sst xmlns="http://schemas.openxmlformats.org/spreadsheetml/2006/main" count="8736" uniqueCount="2886">
  <si>
    <t>작성자</t>
    <phoneticPr fontId="3" type="noConversion"/>
  </si>
  <si>
    <t>작성 상태</t>
    <phoneticPr fontId="3" type="noConversion"/>
  </si>
  <si>
    <t>최종 개정일</t>
    <phoneticPr fontId="3" type="noConversion"/>
  </si>
  <si>
    <t>본 문서는 어떠한 경우에도 공식적인 허가 없이 복사하거나 외부로 유출하는 일체의 행위를 금함</t>
    <phoneticPr fontId="3" type="noConversion"/>
  </si>
  <si>
    <t>개정 이력</t>
    <phoneticPr fontId="3" type="noConversion"/>
  </si>
  <si>
    <t>일자</t>
    <phoneticPr fontId="3" type="noConversion"/>
  </si>
  <si>
    <t>버전</t>
    <phoneticPr fontId="3" type="noConversion"/>
  </si>
  <si>
    <t>주요 내용</t>
    <phoneticPr fontId="3" type="noConversion"/>
  </si>
  <si>
    <t>작성자</t>
    <phoneticPr fontId="3" type="noConversion"/>
  </si>
  <si>
    <t>승인자</t>
    <phoneticPr fontId="3" type="noConversion"/>
  </si>
  <si>
    <t>요구사항명세서</t>
  </si>
  <si>
    <t>Biz요건ID</t>
    <phoneticPr fontId="29" type="noConversion"/>
  </si>
  <si>
    <t>Biz요건명</t>
    <phoneticPr fontId="29" type="noConversion"/>
  </si>
  <si>
    <t>요구사항ID</t>
  </si>
  <si>
    <t>요구사항명</t>
  </si>
  <si>
    <t>총합계</t>
  </si>
  <si>
    <t>기능</t>
  </si>
  <si>
    <t>비기능</t>
  </si>
  <si>
    <t>신규</t>
  </si>
  <si>
    <t>삭제</t>
  </si>
  <si>
    <t>요구사항구분</t>
    <phoneticPr fontId="3" type="noConversion"/>
  </si>
  <si>
    <t>상태구분</t>
    <phoneticPr fontId="3" type="noConversion"/>
  </si>
  <si>
    <t>출처</t>
    <phoneticPr fontId="3" type="noConversion"/>
  </si>
  <si>
    <t>검토의견</t>
    <phoneticPr fontId="3" type="noConversion"/>
  </si>
  <si>
    <t>변경일</t>
    <phoneticPr fontId="3" type="noConversion"/>
  </si>
  <si>
    <t>의뢰부서</t>
    <phoneticPr fontId="29" type="noConversion"/>
  </si>
  <si>
    <t>생성단계</t>
    <phoneticPr fontId="3" type="noConversion"/>
  </si>
  <si>
    <t>개수 : 요구사항ID</t>
  </si>
  <si>
    <t>행 레이블</t>
  </si>
  <si>
    <t>기능/비기능요구사항</t>
    <phoneticPr fontId="3" type="noConversion"/>
  </si>
  <si>
    <t>사용자권한요구사항</t>
    <phoneticPr fontId="3" type="noConversion"/>
  </si>
  <si>
    <t>요구사항처리담당팀</t>
    <phoneticPr fontId="29" type="noConversion"/>
  </si>
  <si>
    <t xml:space="preserve">      </t>
    <phoneticPr fontId="3" type="noConversion"/>
  </si>
  <si>
    <t>최종</t>
    <phoneticPr fontId="3" type="noConversion"/>
  </si>
  <si>
    <t>초안</t>
    <phoneticPr fontId="3" type="noConversion"/>
  </si>
  <si>
    <t>0.1</t>
    <phoneticPr fontId="3" type="noConversion"/>
  </si>
  <si>
    <t>변경요구사항ID</t>
    <phoneticPr fontId="3" type="noConversion"/>
  </si>
  <si>
    <t>근기문서</t>
    <phoneticPr fontId="3" type="noConversion"/>
  </si>
  <si>
    <t>기능</t>
    <phoneticPr fontId="3" type="noConversion"/>
  </si>
  <si>
    <t>구축요건정의서</t>
    <phoneticPr fontId="3" type="noConversion"/>
  </si>
  <si>
    <t>삭제</t>
    <phoneticPr fontId="3" type="noConversion"/>
  </si>
  <si>
    <t>회의록</t>
    <phoneticPr fontId="3" type="noConversion"/>
  </si>
  <si>
    <t>구축요건정의서</t>
  </si>
  <si>
    <t>승인</t>
  </si>
  <si>
    <t>거부</t>
  </si>
  <si>
    <t>요구사항정의</t>
  </si>
  <si>
    <t>팀명</t>
    <phoneticPr fontId="29" type="noConversion"/>
  </si>
  <si>
    <t>업무대분류</t>
    <phoneticPr fontId="29" type="noConversion"/>
  </si>
  <si>
    <t>업무세분류</t>
    <phoneticPr fontId="29" type="noConversion"/>
  </si>
  <si>
    <t>요구사항ID범위</t>
    <phoneticPr fontId="29" type="noConversion"/>
  </si>
  <si>
    <t>비고</t>
    <phoneticPr fontId="29" type="noConversion"/>
  </si>
  <si>
    <t>전문위원</t>
    <phoneticPr fontId="29" type="noConversion"/>
  </si>
  <si>
    <t>-</t>
    <phoneticPr fontId="29" type="noConversion"/>
  </si>
  <si>
    <t>-</t>
    <phoneticPr fontId="29" type="noConversion"/>
  </si>
  <si>
    <t>AP코드-10000</t>
    <phoneticPr fontId="29" type="noConversion"/>
  </si>
  <si>
    <r>
      <t xml:space="preserve">요구사항ID증가는 </t>
    </r>
    <r>
      <rPr>
        <b/>
        <sz val="10"/>
        <color rgb="FFFF0000"/>
        <rFont val="맑은 고딕"/>
        <family val="3"/>
        <charset val="129"/>
        <scheme val="minor"/>
      </rPr>
      <t>10단위로 반영</t>
    </r>
    <r>
      <rPr>
        <sz val="10"/>
        <color theme="1"/>
        <rFont val="맑은 고딕"/>
        <family val="2"/>
        <charset val="129"/>
        <scheme val="minor"/>
      </rPr>
      <t>(추후 누락분 반영을 위한 최소간격 유지)</t>
    </r>
    <phoneticPr fontId="29" type="noConversion"/>
  </si>
  <si>
    <t>인프라</t>
    <phoneticPr fontId="29" type="noConversion"/>
  </si>
  <si>
    <t>AP코드-90000</t>
    <phoneticPr fontId="29" type="noConversion"/>
  </si>
  <si>
    <t>공통</t>
    <phoneticPr fontId="29" type="noConversion"/>
  </si>
  <si>
    <t>공통</t>
    <phoneticPr fontId="29" type="noConversion"/>
  </si>
  <si>
    <t>로그인/인증</t>
    <phoneticPr fontId="29" type="noConversion"/>
  </si>
  <si>
    <t>AP코드-21000</t>
    <phoneticPr fontId="29" type="noConversion"/>
  </si>
  <si>
    <t>계열사/외부연계</t>
    <phoneticPr fontId="29" type="noConversion"/>
  </si>
  <si>
    <t>AP코드-22000</t>
    <phoneticPr fontId="29" type="noConversion"/>
  </si>
  <si>
    <t>기타 공통</t>
    <phoneticPr fontId="29" type="noConversion"/>
  </si>
  <si>
    <t>AP코드-23000</t>
    <phoneticPr fontId="29" type="noConversion"/>
  </si>
  <si>
    <t>공통</t>
    <phoneticPr fontId="29" type="noConversion"/>
  </si>
  <si>
    <t>인증센터</t>
    <phoneticPr fontId="29" type="noConversion"/>
  </si>
  <si>
    <t>AP코드-24000</t>
    <phoneticPr fontId="29" type="noConversion"/>
  </si>
  <si>
    <t>UX전문위원</t>
    <phoneticPr fontId="29" type="noConversion"/>
  </si>
  <si>
    <t>AP코드-25000</t>
    <phoneticPr fontId="29" type="noConversion"/>
  </si>
  <si>
    <t>디자인</t>
    <phoneticPr fontId="29" type="noConversion"/>
  </si>
  <si>
    <t>AP코드-26000</t>
    <phoneticPr fontId="29" type="noConversion"/>
  </si>
  <si>
    <t>퍼블리싱</t>
    <phoneticPr fontId="29" type="noConversion"/>
  </si>
  <si>
    <t>AP코드-27000</t>
    <phoneticPr fontId="29" type="noConversion"/>
  </si>
  <si>
    <t>뱅킹</t>
    <phoneticPr fontId="29" type="noConversion"/>
  </si>
  <si>
    <t>조회</t>
    <phoneticPr fontId="29" type="noConversion"/>
  </si>
  <si>
    <t>AP코드-30000</t>
    <phoneticPr fontId="29" type="noConversion"/>
  </si>
  <si>
    <t>뱅킹</t>
    <phoneticPr fontId="29" type="noConversion"/>
  </si>
  <si>
    <t>이체</t>
    <phoneticPr fontId="29" type="noConversion"/>
  </si>
  <si>
    <t>AP코드-31000</t>
    <phoneticPr fontId="29" type="noConversion"/>
  </si>
  <si>
    <t>관리</t>
    <phoneticPr fontId="29" type="noConversion"/>
  </si>
  <si>
    <t>AP코드-40000</t>
    <phoneticPr fontId="29" type="noConversion"/>
  </si>
  <si>
    <t>인증/보안</t>
    <phoneticPr fontId="29" type="noConversion"/>
  </si>
  <si>
    <t>-</t>
    <phoneticPr fontId="29" type="noConversion"/>
  </si>
  <si>
    <t>AP코드-41000</t>
    <phoneticPr fontId="29" type="noConversion"/>
  </si>
  <si>
    <t>공과금</t>
    <phoneticPr fontId="29" type="noConversion"/>
  </si>
  <si>
    <t>AP코드-42000</t>
    <phoneticPr fontId="29" type="noConversion"/>
  </si>
  <si>
    <t>상품/외환</t>
    <phoneticPr fontId="29" type="noConversion"/>
  </si>
  <si>
    <t>외환</t>
    <phoneticPr fontId="29" type="noConversion"/>
  </si>
  <si>
    <t>AP코드-50000</t>
    <phoneticPr fontId="29" type="noConversion"/>
  </si>
  <si>
    <t>자산관리</t>
    <phoneticPr fontId="29" type="noConversion"/>
  </si>
  <si>
    <t>금융서비스</t>
    <phoneticPr fontId="29" type="noConversion"/>
  </si>
  <si>
    <t>AP코드-60000</t>
    <phoneticPr fontId="29" type="noConversion"/>
  </si>
  <si>
    <t>자산관리</t>
    <phoneticPr fontId="29" type="noConversion"/>
  </si>
  <si>
    <t>AP코드-61000</t>
    <phoneticPr fontId="29" type="noConversion"/>
  </si>
  <si>
    <t>상품</t>
    <phoneticPr fontId="29" type="noConversion"/>
  </si>
  <si>
    <t>상품라운지</t>
    <phoneticPr fontId="29" type="noConversion"/>
  </si>
  <si>
    <t>AP코드-70000</t>
    <phoneticPr fontId="29" type="noConversion"/>
  </si>
  <si>
    <t>예금</t>
    <phoneticPr fontId="29" type="noConversion"/>
  </si>
  <si>
    <t>AP코드-71000</t>
    <phoneticPr fontId="29" type="noConversion"/>
  </si>
  <si>
    <t>대출</t>
    <phoneticPr fontId="29" type="noConversion"/>
  </si>
  <si>
    <t>AP코드-72000</t>
  </si>
  <si>
    <t>퇴직연금</t>
    <phoneticPr fontId="29" type="noConversion"/>
  </si>
  <si>
    <t>AP코드-73000</t>
  </si>
  <si>
    <t>신탁/ISA</t>
    <phoneticPr fontId="29" type="noConversion"/>
  </si>
  <si>
    <t>AP코드-74000</t>
  </si>
  <si>
    <t>보험/공제</t>
    <phoneticPr fontId="29" type="noConversion"/>
  </si>
  <si>
    <t>AP코드-75000</t>
  </si>
  <si>
    <t>펀드</t>
    <phoneticPr fontId="29" type="noConversion"/>
  </si>
  <si>
    <t>AP코드-76000</t>
  </si>
  <si>
    <t>골드/주화</t>
    <phoneticPr fontId="29" type="noConversion"/>
  </si>
  <si>
    <t>AP코드-77000</t>
  </si>
  <si>
    <t>청약/채권</t>
    <phoneticPr fontId="29" type="noConversion"/>
  </si>
  <si>
    <t>AP코드-78000</t>
  </si>
  <si>
    <t>카드</t>
    <phoneticPr fontId="29" type="noConversion"/>
  </si>
  <si>
    <t>AP코드-79000</t>
  </si>
  <si>
    <t>고객센터</t>
    <phoneticPr fontId="29" type="noConversion"/>
  </si>
  <si>
    <t>AP코드-80000</t>
    <phoneticPr fontId="29" type="noConversion"/>
  </si>
  <si>
    <t>영업점</t>
    <phoneticPr fontId="29" type="noConversion"/>
  </si>
  <si>
    <t>AP코드-81000</t>
    <phoneticPr fontId="29" type="noConversion"/>
  </si>
  <si>
    <t>이벤트/마케팅</t>
    <phoneticPr fontId="29" type="noConversion"/>
  </si>
  <si>
    <t>AP코드-82000</t>
  </si>
  <si>
    <t>설정</t>
    <phoneticPr fontId="29" type="noConversion"/>
  </si>
  <si>
    <t>AP코드-83000</t>
  </si>
  <si>
    <t>알림함</t>
    <phoneticPr fontId="29" type="noConversion"/>
  </si>
  <si>
    <t>AP코드-84000</t>
  </si>
  <si>
    <t>모바일</t>
    <phoneticPr fontId="29" type="noConversion"/>
  </si>
  <si>
    <t>모바일웹</t>
    <phoneticPr fontId="29" type="noConversion"/>
  </si>
  <si>
    <t>AP코드-85000</t>
  </si>
  <si>
    <t>다국어</t>
    <phoneticPr fontId="29" type="noConversion"/>
  </si>
  <si>
    <t>AP코드-86000</t>
  </si>
  <si>
    <t>태블릿</t>
    <phoneticPr fontId="29" type="noConversion"/>
  </si>
  <si>
    <t>AP코드-87000</t>
  </si>
  <si>
    <t>위젯</t>
    <phoneticPr fontId="29" type="noConversion"/>
  </si>
  <si>
    <t>AP코드-88000</t>
  </si>
  <si>
    <r>
      <t>** 요구사항ID채번시 업무별 아래규칙을 준수바랍니다.
** 관리위치 : \200.프로젝트표준\240.개발_양식템플릿\01.요구사항정의\</t>
    </r>
    <r>
      <rPr>
        <b/>
        <u/>
        <sz val="10"/>
        <color rgb="FF0000FF"/>
        <rFont val="맑은 고딕"/>
        <family val="3"/>
        <charset val="129"/>
        <scheme val="minor"/>
      </rPr>
      <t>NEW KB스타뱅킹구축-요구사항ID 채번규칙.xlsx</t>
    </r>
    <phoneticPr fontId="29" type="noConversion"/>
  </si>
  <si>
    <t>팀명</t>
    <phoneticPr fontId="29" type="noConversion"/>
  </si>
  <si>
    <t>Biz-008</t>
  </si>
  <si>
    <t>Biz-009</t>
  </si>
  <si>
    <t>Biz-010</t>
  </si>
  <si>
    <t>Biz-011</t>
  </si>
  <si>
    <t>Biz-012</t>
  </si>
  <si>
    <t>Biz-013</t>
  </si>
  <si>
    <t>Biz-014</t>
  </si>
  <si>
    <t>Biz-015</t>
  </si>
  <si>
    <t>Biz-016</t>
  </si>
  <si>
    <t>Biz-017</t>
  </si>
  <si>
    <t>Biz-018</t>
  </si>
  <si>
    <t>Biz-019</t>
  </si>
  <si>
    <t>Biz-020</t>
  </si>
  <si>
    <t>Biz-021</t>
  </si>
  <si>
    <t>Biz-022</t>
  </si>
  <si>
    <t>Biz-023</t>
  </si>
  <si>
    <t>Biz-024</t>
  </si>
  <si>
    <t>Biz-025</t>
  </si>
  <si>
    <t>Biz-026</t>
  </si>
  <si>
    <t>Biz-038</t>
  </si>
  <si>
    <t>Biz-040</t>
  </si>
  <si>
    <t>Biz-041</t>
  </si>
  <si>
    <t>Biz-042</t>
  </si>
  <si>
    <t>Biz-043</t>
  </si>
  <si>
    <t>Biz-044</t>
  </si>
  <si>
    <t>Biz-045</t>
  </si>
  <si>
    <t>Biz-046</t>
  </si>
  <si>
    <t>Biz-047</t>
  </si>
  <si>
    <t>Biz-049</t>
  </si>
  <si>
    <t>Biz-050</t>
  </si>
  <si>
    <t>Biz-051</t>
  </si>
  <si>
    <t>Biz-052</t>
  </si>
  <si>
    <t>Biz-053</t>
  </si>
  <si>
    <t>Biz-054</t>
  </si>
  <si>
    <t>Biz-055</t>
  </si>
  <si>
    <t>Biz-056</t>
  </si>
  <si>
    <t>Biz-058</t>
  </si>
  <si>
    <t>Biz-059</t>
  </si>
  <si>
    <t>Biz-060</t>
    <phoneticPr fontId="3" type="noConversion"/>
  </si>
  <si>
    <t>Biz-061</t>
    <phoneticPr fontId="3" type="noConversion"/>
  </si>
  <si>
    <t>Biz-064</t>
  </si>
  <si>
    <t>Biz-065</t>
  </si>
  <si>
    <t>Biz-066</t>
  </si>
  <si>
    <t>Biz-067</t>
  </si>
  <si>
    <t>Biz-068</t>
  </si>
  <si>
    <t>Biz-069</t>
  </si>
  <si>
    <t>Biz-070</t>
  </si>
  <si>
    <t>Biz-071</t>
  </si>
  <si>
    <t>Biz-072</t>
  </si>
  <si>
    <t>Biz-076</t>
  </si>
  <si>
    <t>Biz-080</t>
  </si>
  <si>
    <t>Biz-081</t>
  </si>
  <si>
    <t>Biz-084</t>
  </si>
  <si>
    <t>Biz-085</t>
  </si>
  <si>
    <t>Biz-086</t>
  </si>
  <si>
    <t>Biz-087</t>
  </si>
  <si>
    <t>Biz-088</t>
  </si>
  <si>
    <t>Biz-089</t>
  </si>
  <si>
    <t>Biz-090</t>
  </si>
  <si>
    <t>Biz-092</t>
  </si>
  <si>
    <t>Biz-093</t>
  </si>
  <si>
    <t>Biz-094</t>
  </si>
  <si>
    <t>Biz-096</t>
  </si>
  <si>
    <t>Biz-097</t>
  </si>
  <si>
    <t>Biz-098</t>
  </si>
  <si>
    <t>Biz-099</t>
  </si>
  <si>
    <t>Biz-100</t>
  </si>
  <si>
    <t>Biz-101</t>
  </si>
  <si>
    <t>Biz-102</t>
  </si>
  <si>
    <t>Biz-103</t>
  </si>
  <si>
    <t>Biz-104</t>
  </si>
  <si>
    <t>Biz-105</t>
  </si>
  <si>
    <t>Biz-106</t>
  </si>
  <si>
    <t>Biz-107</t>
  </si>
  <si>
    <t>Biz-109</t>
  </si>
  <si>
    <t>Biz-110</t>
  </si>
  <si>
    <t>Biz-111</t>
  </si>
  <si>
    <t>Biz-112</t>
  </si>
  <si>
    <t>Biz-113</t>
  </si>
  <si>
    <t>Biz-114</t>
  </si>
  <si>
    <t>Biz-115</t>
  </si>
  <si>
    <t>Biz-116</t>
  </si>
  <si>
    <t>Biz-117</t>
  </si>
  <si>
    <t>Biz-119</t>
  </si>
  <si>
    <t>Biz-120</t>
  </si>
  <si>
    <t>Biz-121</t>
  </si>
  <si>
    <t>Biz-123</t>
  </si>
  <si>
    <t>Biz-124</t>
  </si>
  <si>
    <t>Biz-125</t>
  </si>
  <si>
    <t>Biz-126</t>
  </si>
  <si>
    <t>Biz-127</t>
  </si>
  <si>
    <t>Biz-128</t>
  </si>
  <si>
    <t>Biz-129</t>
  </si>
  <si>
    <t>Biz-130</t>
  </si>
  <si>
    <t>Biz-131</t>
  </si>
  <si>
    <t>Biz-132</t>
  </si>
  <si>
    <t>Biz-133</t>
  </si>
  <si>
    <t>Biz-134</t>
  </si>
  <si>
    <t>Biz-135</t>
  </si>
  <si>
    <t>Biz-136</t>
  </si>
  <si>
    <t>Biz-137</t>
  </si>
  <si>
    <t>Biz-138</t>
  </si>
  <si>
    <t>Biz-139</t>
  </si>
  <si>
    <t>Biz-140</t>
  </si>
  <si>
    <t>Biz-141</t>
  </si>
  <si>
    <t>Biz-142</t>
  </si>
  <si>
    <t>Biz-143</t>
  </si>
  <si>
    <t>Biz-144</t>
  </si>
  <si>
    <t>Biz-145</t>
  </si>
  <si>
    <t>Biz-146</t>
  </si>
  <si>
    <t>Biz-148</t>
  </si>
  <si>
    <t>Biz-149</t>
  </si>
  <si>
    <t>Biz-151</t>
  </si>
  <si>
    <t>Biz-152</t>
  </si>
  <si>
    <t>Biz-155</t>
  </si>
  <si>
    <t>Biz-157</t>
  </si>
  <si>
    <t>Biz-158</t>
  </si>
  <si>
    <t>Biz-160</t>
  </si>
  <si>
    <t>Biz-161</t>
  </si>
  <si>
    <t>Biz-162</t>
  </si>
  <si>
    <t>Biz-165</t>
  </si>
  <si>
    <t>Biz-166</t>
  </si>
  <si>
    <t>Biz-168</t>
  </si>
  <si>
    <t>Biz-169</t>
  </si>
  <si>
    <t>Biz-170</t>
  </si>
  <si>
    <t>Biz-171</t>
  </si>
  <si>
    <t>Biz-173</t>
  </si>
  <si>
    <t>Biz-174</t>
  </si>
  <si>
    <t>Biz-175</t>
  </si>
  <si>
    <t>FDS</t>
  </si>
  <si>
    <t>UX/UI</t>
  </si>
  <si>
    <t>앱접근성</t>
  </si>
  <si>
    <t>ARS 추가인증</t>
  </si>
  <si>
    <t>거래내역 저장</t>
    <phoneticPr fontId="3" type="noConversion"/>
  </si>
  <si>
    <t>서식 view</t>
    <phoneticPr fontId="29" type="noConversion"/>
  </si>
  <si>
    <t>피싱∙스미싱 의심 SMS 신고</t>
  </si>
  <si>
    <t>보안 컨텐츠 추가</t>
  </si>
  <si>
    <t>첫화면</t>
  </si>
  <si>
    <t>모바일인증서 발급 시 CRM 변경시점 개선</t>
    <phoneticPr fontId="29" type="noConversion"/>
  </si>
  <si>
    <t>홈화면구성</t>
  </si>
  <si>
    <t>쉽게 해결하는 뱅킹서비스</t>
  </si>
  <si>
    <t>대출관련 알림 표시</t>
    <phoneticPr fontId="3" type="noConversion"/>
  </si>
  <si>
    <t>계열사연계</t>
  </si>
  <si>
    <t>전계좌조회목록</t>
  </si>
  <si>
    <t>전계좌조회목록</t>
    <phoneticPr fontId="3" type="noConversion"/>
  </si>
  <si>
    <t>즐겨찾기 계좌 그룹</t>
    <phoneticPr fontId="3" type="noConversion"/>
  </si>
  <si>
    <t>상품별 연계버튼 제공</t>
  </si>
  <si>
    <t>거래내역 조회 개선</t>
  </si>
  <si>
    <t>이체방식 통합 및 프로세스 개선</t>
    <phoneticPr fontId="29" type="noConversion"/>
  </si>
  <si>
    <t>빠른이체 개선</t>
    <phoneticPr fontId="29" type="noConversion"/>
  </si>
  <si>
    <t>오픈뱅킹 잔액모으기</t>
  </si>
  <si>
    <t>소액신용 대출상품 신규</t>
  </si>
  <si>
    <t>라떼연금펀드 전용화면 개편</t>
  </si>
  <si>
    <t>신탁/ISA 추가입금, 운용지시 프로세스 간소화</t>
  </si>
  <si>
    <t>청약/채권 메뉴 그룹핑</t>
  </si>
  <si>
    <t>주택청약 종합저축 가입 프로세스 개선</t>
  </si>
  <si>
    <t>골드 안내 및 신청/신규 메뉴 통합</t>
  </si>
  <si>
    <t>골드통장 입/출금</t>
  </si>
  <si>
    <t>골드 가격조회 차트 제공</t>
  </si>
  <si>
    <t>신탁 외화 ELS 비대면 신규</t>
  </si>
  <si>
    <t>펀드 추가입금</t>
  </si>
  <si>
    <t>펀드 상품검색</t>
  </si>
  <si>
    <t>펀드 수익률조회</t>
  </si>
  <si>
    <t>펀드 환매</t>
  </si>
  <si>
    <t>외환메인 내 대시보드 및 환율픽 연동</t>
  </si>
  <si>
    <t>증시 시황 대시보드</t>
  </si>
  <si>
    <t xml:space="preserve">Interactive 환율 대시보드 </t>
  </si>
  <si>
    <t>외화예금 입/출금 거래 개선</t>
  </si>
  <si>
    <t>송금주소록</t>
  </si>
  <si>
    <t>지점찾기/번호표발행</t>
  </si>
  <si>
    <t>스마트출금</t>
  </si>
  <si>
    <t>마이페이지</t>
  </si>
  <si>
    <t>고객우대 제도</t>
  </si>
  <si>
    <t>Biz-003</t>
    <phoneticPr fontId="3" type="noConversion"/>
  </si>
  <si>
    <t>CDD/EDD</t>
    <phoneticPr fontId="29" type="noConversion"/>
  </si>
  <si>
    <t>중복, 유사 UI 공통화</t>
    <phoneticPr fontId="3" type="noConversion"/>
  </si>
  <si>
    <t>팝업관리기능</t>
    <phoneticPr fontId="29" type="noConversion"/>
  </si>
  <si>
    <t>상담연계</t>
    <phoneticPr fontId="29" type="noConversion"/>
  </si>
  <si>
    <t>문자 기반 이체</t>
    <phoneticPr fontId="29" type="noConversion"/>
  </si>
  <si>
    <t>자동이체</t>
    <phoneticPr fontId="29" type="noConversion"/>
  </si>
  <si>
    <t>위젯</t>
    <phoneticPr fontId="3" type="noConversion"/>
  </si>
  <si>
    <t>챗봇 기능 고도화</t>
    <phoneticPr fontId="29" type="noConversion"/>
  </si>
  <si>
    <t>통합ID 계정전환</t>
    <phoneticPr fontId="3" type="noConversion"/>
  </si>
  <si>
    <t>어드민</t>
    <phoneticPr fontId="29" type="noConversion"/>
  </si>
  <si>
    <t>스타샷 기능 분리</t>
    <phoneticPr fontId="29" type="noConversion"/>
  </si>
  <si>
    <t>BFE-23150</t>
    <phoneticPr fontId="3" type="noConversion"/>
  </si>
  <si>
    <t>BFE-23280</t>
  </si>
  <si>
    <t>BFE-23300</t>
  </si>
  <si>
    <t>BFE-23010</t>
  </si>
  <si>
    <t>비대면 실명확인 프로세스 개선</t>
    <phoneticPr fontId="29" type="noConversion"/>
  </si>
  <si>
    <t>BFE-21010</t>
  </si>
  <si>
    <t>BFE-21040</t>
  </si>
  <si>
    <t>BFE-23050</t>
  </si>
  <si>
    <t>BFE-23060</t>
  </si>
  <si>
    <t>BFE-41000</t>
  </si>
  <si>
    <t>BFE-41010</t>
  </si>
  <si>
    <t>BFE-41020</t>
  </si>
  <si>
    <t>BFE-23170</t>
    <phoneticPr fontId="3" type="noConversion"/>
  </si>
  <si>
    <t>BFE-21000</t>
  </si>
  <si>
    <t>BFE-24000</t>
  </si>
  <si>
    <t>BFE-23070</t>
  </si>
  <si>
    <t>BFE-23220</t>
  </si>
  <si>
    <t>BFE-23230</t>
  </si>
  <si>
    <t>BFE-23320</t>
  </si>
  <si>
    <t>BFE-22000</t>
  </si>
  <si>
    <t>BFE-21050</t>
  </si>
  <si>
    <t>BFE-23080</t>
  </si>
  <si>
    <t>BFE-22010</t>
  </si>
  <si>
    <t>BFE-23240</t>
  </si>
  <si>
    <t>전체메뉴 기능 개선</t>
    <phoneticPr fontId="3" type="noConversion"/>
  </si>
  <si>
    <t>BFE-23250</t>
  </si>
  <si>
    <t>BFE-30000</t>
  </si>
  <si>
    <t>Mini Asset Board 신설</t>
    <phoneticPr fontId="3" type="noConversion"/>
  </si>
  <si>
    <t>BFE-30010</t>
  </si>
  <si>
    <t>전계좌조회 메인 수정</t>
    <phoneticPr fontId="3" type="noConversion"/>
  </si>
  <si>
    <t>BFE-30014</t>
    <phoneticPr fontId="3" type="noConversion"/>
  </si>
  <si>
    <t>BFE-30020</t>
  </si>
  <si>
    <t>즐겨찾기 계좌 그룹 상세 화면 제공</t>
    <phoneticPr fontId="3" type="noConversion"/>
  </si>
  <si>
    <t>BFE-30030</t>
  </si>
  <si>
    <t>BFE-30040</t>
  </si>
  <si>
    <t>BFE-30041</t>
  </si>
  <si>
    <t>거래내역 조회 메모 기능 강화</t>
  </si>
  <si>
    <t>BFE-30042</t>
  </si>
  <si>
    <t>거래내역 상세 화면 개선</t>
  </si>
  <si>
    <t>회의록</t>
  </si>
  <si>
    <t>BFE-30044</t>
  </si>
  <si>
    <t>결제와 거래내역 구분</t>
  </si>
  <si>
    <t>BFE-31000</t>
  </si>
  <si>
    <t>요구사항정의</t>
    <phoneticPr fontId="3" type="noConversion"/>
  </si>
  <si>
    <t>BFE-31010</t>
  </si>
  <si>
    <t>단축이체 기능 삭제</t>
    <phoneticPr fontId="3" type="noConversion"/>
  </si>
  <si>
    <t>BFE-31020</t>
  </si>
  <si>
    <t>BFE-31030</t>
  </si>
  <si>
    <t>BFE-31040</t>
  </si>
  <si>
    <t>BFE-31050</t>
  </si>
  <si>
    <t>해시태그 이체 정보 등록/관리 추가</t>
    <phoneticPr fontId="3" type="noConversion"/>
  </si>
  <si>
    <t>BFE-31070</t>
  </si>
  <si>
    <t>BFE-31080</t>
  </si>
  <si>
    <t>이체완료 메모기능 추가</t>
    <phoneticPr fontId="3" type="noConversion"/>
  </si>
  <si>
    <t>BFE-23090</t>
  </si>
  <si>
    <t>금액 입력 별도 키패드 제공</t>
    <phoneticPr fontId="3" type="noConversion"/>
  </si>
  <si>
    <t>기본 이체서비스 내 빠른이체 기능 내제</t>
    <phoneticPr fontId="29" type="noConversion"/>
  </si>
  <si>
    <t>문자 기반 이체 신설</t>
    <phoneticPr fontId="29" type="noConversion"/>
  </si>
  <si>
    <t>BFE-31130</t>
  </si>
  <si>
    <t>이체결과조회 당행/타행 메뉴 통합</t>
    <phoneticPr fontId="29" type="noConversion"/>
  </si>
  <si>
    <t>BFE-31140</t>
  </si>
  <si>
    <t>BFE-31150</t>
  </si>
  <si>
    <t>잔액모으기 일부 메뉴통합 및 이체결과조회 내 취소 기능 추가</t>
    <phoneticPr fontId="29" type="noConversion"/>
  </si>
  <si>
    <t>BFE-70000</t>
  </si>
  <si>
    <t>BFE-70010</t>
  </si>
  <si>
    <t>BFE-70020</t>
  </si>
  <si>
    <t>BFE-70030</t>
  </si>
  <si>
    <t>BFE-71000</t>
  </si>
  <si>
    <t>BFE-71010</t>
  </si>
  <si>
    <t>BFE-71020</t>
  </si>
  <si>
    <t>BFE-71030</t>
  </si>
  <si>
    <t>BFE-71040</t>
  </si>
  <si>
    <t>BFE-71050</t>
  </si>
  <si>
    <t>BFE-72010</t>
  </si>
  <si>
    <t>BFE-72030</t>
  </si>
  <si>
    <t>BFE-72040</t>
  </si>
  <si>
    <t>BFE-73000</t>
  </si>
  <si>
    <t>BFE-73020</t>
  </si>
  <si>
    <t>BFE-73030</t>
  </si>
  <si>
    <t>BFE-73040</t>
  </si>
  <si>
    <t>BFE-73050</t>
  </si>
  <si>
    <t>BFE-73060</t>
  </si>
  <si>
    <t>BFE-74000</t>
  </si>
  <si>
    <t>BFE-78000</t>
  </si>
  <si>
    <t>BFE-78010</t>
  </si>
  <si>
    <t>BFE-75000</t>
  </si>
  <si>
    <t>BFE-75010</t>
  </si>
  <si>
    <t>BFE-79000</t>
  </si>
  <si>
    <t>BFE-77000</t>
  </si>
  <si>
    <t>BFE-77010</t>
  </si>
  <si>
    <t>BFE-77020</t>
  </si>
  <si>
    <t>BFE-74010</t>
  </si>
  <si>
    <t>BFE-76000</t>
  </si>
  <si>
    <t>BFE-76010</t>
  </si>
  <si>
    <t>BFE-76020</t>
  </si>
  <si>
    <t>BFE-76030</t>
  </si>
  <si>
    <t>외환 Sub 메인 추가</t>
  </si>
  <si>
    <t>BFE-50001</t>
  </si>
  <si>
    <t>BFE-50010</t>
  </si>
  <si>
    <t>자동예약 송금 신설</t>
  </si>
  <si>
    <t>맞춤환율 송금 신설</t>
  </si>
  <si>
    <t>BFE-50022</t>
  </si>
  <si>
    <t>BFE-50030</t>
  </si>
  <si>
    <t>BFE-50040</t>
  </si>
  <si>
    <t>BFE-50050</t>
  </si>
  <si>
    <t>환율조회 /환율추이 개선</t>
  </si>
  <si>
    <t>BFE-50070</t>
  </si>
  <si>
    <t>BFE-50080</t>
  </si>
  <si>
    <t>외화예금 가입 프로세스 개선</t>
  </si>
  <si>
    <t>BFE-50090</t>
  </si>
  <si>
    <t>외환 메뉴 재정리</t>
  </si>
  <si>
    <t>BFE-50110</t>
  </si>
  <si>
    <t>BFE-50120</t>
  </si>
  <si>
    <t>송금인 정보 입력 간소화</t>
  </si>
  <si>
    <t>BFE-50130</t>
  </si>
  <si>
    <t>BFE-50150</t>
  </si>
  <si>
    <t>내영문정보관리 추가</t>
  </si>
  <si>
    <t>BFE-50160</t>
  </si>
  <si>
    <t>BFE-50170</t>
  </si>
  <si>
    <t>BFE-50200</t>
  </si>
  <si>
    <t>BFE-50210</t>
  </si>
  <si>
    <t>BFE-50220</t>
  </si>
  <si>
    <t>BFE-50230</t>
  </si>
  <si>
    <t>BFE-50240</t>
  </si>
  <si>
    <t>해외송금 - 국내 수취인 수취 정보 공유 기능 추가</t>
  </si>
  <si>
    <t>BFE-50260</t>
  </si>
  <si>
    <t>송금주소록 기능 개선</t>
  </si>
  <si>
    <t>BFE-50270</t>
  </si>
  <si>
    <t>해외송금 조회정보 추가</t>
  </si>
  <si>
    <t>BFE-50290</t>
  </si>
  <si>
    <t>BFE-50300</t>
  </si>
  <si>
    <t xml:space="preserve">국내외화이체 조회 기능 추가 (당/타행 외화송금) </t>
  </si>
  <si>
    <t>BFE-74040</t>
  </si>
  <si>
    <t>MY외화자산 추가</t>
  </si>
  <si>
    <t>BFE-84001</t>
  </si>
  <si>
    <t>BFE-84010</t>
  </si>
  <si>
    <t>BFE-84020</t>
  </si>
  <si>
    <t>BFE-81120</t>
  </si>
  <si>
    <t>BFE-71080</t>
  </si>
  <si>
    <t>BFE-82010</t>
  </si>
  <si>
    <t>BFE-85000</t>
  </si>
  <si>
    <t>BFE-23100</t>
  </si>
  <si>
    <t>BFE-89000</t>
  </si>
  <si>
    <t>구동메시지 기능 강화</t>
    <phoneticPr fontId="29" type="noConversion"/>
  </si>
  <si>
    <t>BFE-74020</t>
  </si>
  <si>
    <t>신탁 상품 어드민 개선</t>
  </si>
  <si>
    <t>BFE-86000</t>
  </si>
  <si>
    <t>BFE-40020</t>
  </si>
  <si>
    <t>내정보 관리</t>
    <phoneticPr fontId="3" type="noConversion"/>
  </si>
  <si>
    <t>BFE-23000</t>
  </si>
  <si>
    <t>BFE-80010</t>
  </si>
  <si>
    <t>BFE-40030</t>
  </si>
  <si>
    <t>BFE-40040</t>
  </si>
  <si>
    <t>BFE-82030</t>
  </si>
  <si>
    <t>BFE-80000</t>
  </si>
  <si>
    <t>콜봇서비스 추가</t>
    <phoneticPr fontId="3" type="noConversion"/>
  </si>
  <si>
    <t>- 잔액모으기 예약결과조회, 예약 관리 메뉴 통합 거래 제공
  ㅇ 이체결과조회 內 즉시/예약으로 구분하여 취소 가능 거래 취소 기능 제공</t>
    <phoneticPr fontId="3" type="noConversion"/>
  </si>
  <si>
    <t>정보보호부</t>
  </si>
  <si>
    <t>신용상담센터/박정태</t>
    <phoneticPr fontId="3" type="noConversion"/>
  </si>
  <si>
    <t>개인여신상품부</t>
  </si>
  <si>
    <t>신탁사업부</t>
  </si>
  <si>
    <t>주택기금부</t>
  </si>
  <si>
    <t>파생상품영업1부</t>
  </si>
  <si>
    <t>외환마케팅부
자본시장부</t>
  </si>
  <si>
    <t>20201224_UIUX(상품예금)_회의록_1차요구사항분석_Ver1.0.docx</t>
  </si>
  <si>
    <t>20201223_UIUX(외환)_회의록_외환 1차 요구사항분석_Ver 1.0.docx</t>
  </si>
  <si>
    <t>박준규</t>
    <phoneticPr fontId="29" type="noConversion"/>
  </si>
  <si>
    <t>정찬민</t>
    <phoneticPr fontId="3" type="noConversion"/>
  </si>
  <si>
    <t>박준규</t>
    <phoneticPr fontId="3" type="noConversion"/>
  </si>
  <si>
    <t>문지민</t>
    <phoneticPr fontId="29" type="noConversion"/>
  </si>
  <si>
    <t>이근정</t>
    <phoneticPr fontId="3" type="noConversion"/>
  </si>
  <si>
    <t>이인숙</t>
    <phoneticPr fontId="3" type="noConversion"/>
  </si>
  <si>
    <t>공통(기타)</t>
    <phoneticPr fontId="3" type="noConversion"/>
  </si>
  <si>
    <t>조회</t>
  </si>
  <si>
    <t>이체</t>
    <phoneticPr fontId="3" type="noConversion"/>
  </si>
  <si>
    <t>상품라운지</t>
  </si>
  <si>
    <t>관리</t>
    <phoneticPr fontId="3" type="noConversion"/>
  </si>
  <si>
    <t>●</t>
  </si>
  <si>
    <t>거래내역 조회 UI 구성</t>
    <phoneticPr fontId="3" type="noConversion"/>
  </si>
  <si>
    <t>사용자 관점의 전체 메뉴 구성</t>
    <phoneticPr fontId="3" type="noConversion"/>
  </si>
  <si>
    <t>FDS 탐지 대상 거래 확대</t>
    <phoneticPr fontId="3" type="noConversion"/>
  </si>
  <si>
    <t>20210122_UIUX(관리)_회의록_1차 요구사항분석_ver1.0.docx</t>
    <phoneticPr fontId="3" type="noConversion"/>
  </si>
  <si>
    <t>조건부승인</t>
  </si>
  <si>
    <t>이채우</t>
    <phoneticPr fontId="29" type="noConversion"/>
  </si>
  <si>
    <t>개인뱅킹플랫폼부</t>
  </si>
  <si>
    <t>개인뱅킹플랫폼부
스마트상담부</t>
  </si>
  <si>
    <t>개인뱅킹플랫폼부
WM투자전략부</t>
  </si>
  <si>
    <t>개인뱅킹플랫폼부
개인여신상품부</t>
  </si>
  <si>
    <t xml:space="preserve">- 스타뱅킹 내 신탁목록 (ETF, ELS)화면 내 유관부서(개인뱅킹플랫폼부, IT디지털개발부)에 의뢰없이도 긴급 공지사항 등(ELS실시간공급상황 등)을 입력/수정할수 있는 자유필드 생성 요청
  ㅇ 개발의뢰후 적용시까지 걸리는 시간 단축을 통한 긴급상황 공지 가능 </t>
  </si>
  <si>
    <t>개인뱅킹플랫폼부
외환마케팅부</t>
  </si>
  <si>
    <t>스타링크 접속방법 개선</t>
    <phoneticPr fontId="29" type="noConversion"/>
  </si>
  <si>
    <t>BFE-30001</t>
    <phoneticPr fontId="3" type="noConversion"/>
  </si>
  <si>
    <t>해당페이지 진입 시, 모든 정보를 한번에 표출해야함에 따라 발생됨에 따라 
기본적인 기능(가장 중요하게 표출해야하는 부분)만 표출하고, 나머지 정보는 단위지정 등에 대한 정책 및 화면설계 후 IT 부서와 논의 필요</t>
    <phoneticPr fontId="3" type="noConversion"/>
  </si>
  <si>
    <t>UXUI</t>
  </si>
  <si>
    <t>UXUI</t>
    <phoneticPr fontId="3" type="noConversion"/>
  </si>
  <si>
    <t>N</t>
  </si>
  <si>
    <t>Biz-001</t>
    <phoneticPr fontId="3" type="noConversion"/>
  </si>
  <si>
    <t>개발모수</t>
  </si>
  <si>
    <t>- KB스타뱅킹 전체(요구사항 정의단계, 상세화 예정)</t>
  </si>
  <si>
    <t>IT디지털개발부</t>
  </si>
  <si>
    <t>응용개발-공통뱅킹</t>
  </si>
  <si>
    <t>승인</t>
    <phoneticPr fontId="3" type="noConversion"/>
  </si>
  <si>
    <t>Biz-002</t>
    <phoneticPr fontId="3" type="noConversion"/>
  </si>
  <si>
    <t>표준준수</t>
  </si>
  <si>
    <t>- 메타 등 은행 표준 준수</t>
  </si>
  <si>
    <t>Biz-006</t>
    <phoneticPr fontId="3" type="noConversion"/>
  </si>
  <si>
    <t>Biz-007</t>
  </si>
  <si>
    <t>악성앱,원격앱탐지 강화</t>
    <phoneticPr fontId="29" type="noConversion"/>
  </si>
  <si>
    <t>BFE-23540</t>
    <phoneticPr fontId="3" type="noConversion"/>
  </si>
  <si>
    <t>20210120_업무공통_회의록_FDS 및 악성앱정보 요건 회의_Ver1.0.docx</t>
    <phoneticPr fontId="3" type="noConversion"/>
  </si>
  <si>
    <t>Biz-031</t>
  </si>
  <si>
    <t>응용개발-모바일</t>
  </si>
  <si>
    <t>Biz-035</t>
  </si>
  <si>
    <t>BFE-23550</t>
    <phoneticPr fontId="3" type="noConversion"/>
  </si>
  <si>
    <t>MyStar 단말 통계 개선</t>
    <phoneticPr fontId="3" type="noConversion"/>
  </si>
  <si>
    <t>응용개발-대응개발</t>
  </si>
  <si>
    <t>프로젝트계획서</t>
  </si>
  <si>
    <t>정지윤</t>
    <phoneticPr fontId="3" type="noConversion"/>
  </si>
  <si>
    <t>Biz-027</t>
  </si>
  <si>
    <t>프레임웍</t>
  </si>
  <si>
    <t>페이지ID별 사용여부 항목 추가</t>
  </si>
  <si>
    <t>BFE-92030</t>
  </si>
  <si>
    <t>BFE-92040</t>
  </si>
  <si>
    <t>모바일 페이지 미리보기 기능 고도화</t>
  </si>
  <si>
    <t>20210105_인프라_회의록_인프라요구사항정의_v1.0.docx</t>
  </si>
  <si>
    <t>BFE-92050</t>
  </si>
  <si>
    <t>BFE-92060</t>
  </si>
  <si>
    <t>BFE-92070</t>
  </si>
  <si>
    <t>BFE-92080</t>
  </si>
  <si>
    <t>서블릿 버전 업그레이드</t>
  </si>
  <si>
    <t>BFE-92090</t>
  </si>
  <si>
    <t>통신기능 개선</t>
  </si>
  <si>
    <t>BFE-92100</t>
  </si>
  <si>
    <t>인프라 기존 인뱅서버와 분리하여 구축</t>
  </si>
  <si>
    <t>BFE-92110</t>
  </si>
  <si>
    <t>모바일스타루트 개발자코드와 관련된 DB구성</t>
  </si>
  <si>
    <t>BFE-92120</t>
  </si>
  <si>
    <t xml:space="preserve"> 엔진 분리를 통한 상호 영향도 개선</t>
  </si>
  <si>
    <t>BFE-92130</t>
  </si>
  <si>
    <t>메니페스트 개선</t>
  </si>
  <si>
    <t>Biz-028</t>
  </si>
  <si>
    <t>mQuics API doc제공 방식개선</t>
  </si>
  <si>
    <t>BFE-92140</t>
  </si>
  <si>
    <t>운영에러 디버깅 편의성개선</t>
  </si>
  <si>
    <t>BFE-92150</t>
  </si>
  <si>
    <t>Biz-030</t>
  </si>
  <si>
    <t>Biz-032</t>
  </si>
  <si>
    <t>Biz-033</t>
  </si>
  <si>
    <t>Biz-034</t>
  </si>
  <si>
    <t>화면WAS 내 순수 컨텐츠용 DB 구축</t>
  </si>
  <si>
    <t>ㅇ 비대면 채널에서 MCI를 거치지 않는 인터페이스 구성</t>
  </si>
  <si>
    <t>BFE-91110</t>
  </si>
  <si>
    <t>Biz-036</t>
  </si>
  <si>
    <t>팝업관리기능</t>
  </si>
  <si>
    <t>인프라</t>
  </si>
  <si>
    <t>Biz-180</t>
  </si>
  <si>
    <t>Biz-181</t>
  </si>
  <si>
    <t>Biz-163</t>
  </si>
  <si>
    <t>메뉴 링크 연계</t>
  </si>
  <si>
    <t>Web Front Architecture 개선 검토 (SPA)</t>
  </si>
  <si>
    <t>검토상태</t>
    <phoneticPr fontId="74" type="noConversion"/>
  </si>
  <si>
    <t>총합계
(S = A+B+C+D)</t>
    <phoneticPr fontId="74" type="noConversion"/>
  </si>
  <si>
    <t>진행율
(A+B+C)/S</t>
    <phoneticPr fontId="74" type="noConversion"/>
  </si>
  <si>
    <t>승인(개발가능)
(A)</t>
    <phoneticPr fontId="3" type="noConversion"/>
  </si>
  <si>
    <t>조건부승인(일부개발가능)
(B)</t>
    <phoneticPr fontId="3" type="noConversion"/>
  </si>
  <si>
    <t>거부(개발불가)
(C )</t>
    <phoneticPr fontId="3" type="noConversion"/>
  </si>
  <si>
    <t>미정
(D)</t>
    <phoneticPr fontId="3" type="noConversion"/>
  </si>
  <si>
    <t>거부(삭제)
(C )</t>
    <phoneticPr fontId="3" type="noConversion"/>
  </si>
  <si>
    <t>승인(개발가능)
(A)</t>
    <phoneticPr fontId="3" type="noConversion"/>
  </si>
  <si>
    <t>&lt;전주대비 증감&gt;</t>
    <phoneticPr fontId="3" type="noConversion"/>
  </si>
  <si>
    <t xml:space="preserve">2개 이상의 업무에서 중복 또는 유사한 내용으로 구성된 컨텐츠, 서비스를 일관성 있게 구성하기 위한 UI 가이드 수립 및 적용
- 투자성향분석: 퇴직연금, 펀드, 신탁 등에서 진행되는 화면의 공통점과 차이점을 분석 후 가능한 공통화 진행.
- 약관동의: 상품가입 외의 업무에서도 약관동의 관련 화면들의 유형을 분석 후 가능한 공통 가이드 적용.
- 서비스 이용안내 팝업: 서비스 이용 및 시간 등에 대한 안내 시점 및 형태(팝업, 화면 내 안내메시지)에 대해 공통 가이드 적용. </t>
    <phoneticPr fontId="3" type="noConversion"/>
  </si>
  <si>
    <t>- "피싱방지 이미지 (현재 웹/앱 공통)" 추가
   ㅇ 개인화 이미지에 휴대폰에 저장되어 있는 사진 추가 기능 제공</t>
    <phoneticPr fontId="3" type="noConversion"/>
  </si>
  <si>
    <t>정보보안플랫폼부</t>
    <phoneticPr fontId="3" type="noConversion"/>
  </si>
  <si>
    <t xml:space="preserve"> 이민욱 차장</t>
    <phoneticPr fontId="3" type="noConversion"/>
  </si>
  <si>
    <t>코어뱅킹1플랫폼부</t>
    <phoneticPr fontId="3" type="noConversion"/>
  </si>
  <si>
    <t>이민욱 차장</t>
    <phoneticPr fontId="3" type="noConversion"/>
  </si>
  <si>
    <t xml:space="preserve">코어뱅킹2플랫폼부 </t>
  </si>
  <si>
    <t xml:space="preserve"> 강경엽 차장</t>
    <phoneticPr fontId="3" type="noConversion"/>
  </si>
  <si>
    <t xml:space="preserve"> 윤순영 차장</t>
    <phoneticPr fontId="3" type="noConversion"/>
  </si>
  <si>
    <t>케이봇쌤 운영부서</t>
  </si>
  <si>
    <t>데이터분석플랫폼부</t>
  </si>
  <si>
    <t>코어뱅킹1플랫폼부</t>
  </si>
  <si>
    <t xml:space="preserve">코어뱅킹1플랫폼부 </t>
  </si>
  <si>
    <t>Y</t>
    <phoneticPr fontId="3" type="noConversion"/>
  </si>
  <si>
    <t>N</t>
    <phoneticPr fontId="3" type="noConversion"/>
  </si>
  <si>
    <t>김원용 수석</t>
    <phoneticPr fontId="3" type="noConversion"/>
  </si>
  <si>
    <t>조형준 대리</t>
    <phoneticPr fontId="3" type="noConversion"/>
  </si>
  <si>
    <t>미래컨택센터추진단</t>
    <phoneticPr fontId="3" type="noConversion"/>
  </si>
  <si>
    <t>송윤종 수석</t>
    <phoneticPr fontId="3" type="noConversion"/>
  </si>
  <si>
    <t xml:space="preserve"> 김홍윤 수석</t>
    <phoneticPr fontId="3" type="noConversion"/>
  </si>
  <si>
    <t xml:space="preserve">김원용 수석 </t>
    <phoneticPr fontId="3" type="noConversion"/>
  </si>
  <si>
    <t>손정우 대리</t>
    <phoneticPr fontId="3" type="noConversion"/>
  </si>
  <si>
    <t>조형준 대리/윤순영 차장</t>
    <phoneticPr fontId="3" type="noConversion"/>
  </si>
  <si>
    <t>이득희 팀장</t>
    <phoneticPr fontId="3" type="noConversion"/>
  </si>
  <si>
    <t>구재근 수석</t>
    <phoneticPr fontId="3" type="noConversion"/>
  </si>
  <si>
    <t>개인화</t>
    <phoneticPr fontId="3" type="noConversion"/>
  </si>
  <si>
    <r>
      <t xml:space="preserve">- 공통 태그 라이브러리 유형화
   ㅇ 주소입력, 권유직원, 보안매체, 추가인증 등 요소별 태그 유형화하여 수정 및 운영 용이성 증대
</t>
    </r>
    <r>
      <rPr>
        <sz val="9"/>
        <color rgb="FF00B0F0"/>
        <rFont val="KB금융 본문체 Light"/>
        <family val="3"/>
        <charset val="129"/>
      </rPr>
      <t xml:space="preserve">
[0205]</t>
    </r>
    <r>
      <rPr>
        <sz val="9"/>
        <color theme="1"/>
        <rFont val="KB금융 본문체 Light"/>
        <family val="3"/>
        <charset val="129"/>
      </rPr>
      <t xml:space="preserve">
</t>
    </r>
    <r>
      <rPr>
        <sz val="9"/>
        <color rgb="FF00B0F0"/>
        <rFont val="KB금융 본문체 Light"/>
        <family val="3"/>
        <charset val="129"/>
      </rPr>
      <t xml:space="preserve">- ASIS 영향도 없게 하고, 스타뱅킹 중 개인뱅킹 업무에만 적용 가능하게 구현. </t>
    </r>
    <phoneticPr fontId="29" type="noConversion"/>
  </si>
  <si>
    <t>거부</t>
    <phoneticPr fontId="3" type="noConversion"/>
  </si>
  <si>
    <t>20210127_UIUX(이체)_회의록_4차 요구사항분석_Ver1.0.docx</t>
  </si>
  <si>
    <t>20210121_UIUX(퇴직연금)_회의록_퇴직연금 IT 요건검토 1차 회의_Ver 1.0.docx</t>
  </si>
  <si>
    <t>안종현 수석</t>
  </si>
  <si>
    <t xml:space="preserve"> 전운봉 수석
 김홍윤팀장, 정현석대리, 유승완 대리
정환기과장 코어뱅킹1플랫폼부 (자동이체) 
  최영철수석 코어뱅킹1플랫폼부 (만기(예정)상품일자별건수조회)</t>
  </si>
  <si>
    <t>- 고객의 영문정보 관리임으로,
CRM담당자가 관리해야함
- 현재도 영문명은 CRM에서 관리하고 있음
- 담당자확인필요</t>
  </si>
  <si>
    <t>적금-임정훈 대리
예금-왕대현 대리</t>
  </si>
  <si>
    <t>- 고객의 영문정보 관리임으로,
CRM담당자가 관리해야함
- 현재도 영문명은 CRM에서 관리하고 있음
-담당자확인필요</t>
  </si>
  <si>
    <t>-코어뱅킹1플랫폼부
-코어뱅킹2플랫폼부
-데이터분석플랫폼부</t>
  </si>
  <si>
    <t xml:space="preserve"> -데이터분석플랫폼부
- 코어뱅킹2플랫폼부</t>
  </si>
  <si>
    <t>-데이터분석플랫폼부
-코어뱅킹1플랫폼부
-코어뱅킹2플랫폼부</t>
  </si>
  <si>
    <t>김원주 차장</t>
  </si>
  <si>
    <t>이재민 대리</t>
  </si>
  <si>
    <t>정광환 대리</t>
  </si>
  <si>
    <t>조세형 과장</t>
  </si>
  <si>
    <t>20201223_UIUX(외환)_회의록_외환 1차 요구사항분석_Ver 1.0.docx
20210210_UIUX(외환)_회의록_외환 요구사항 변경_Ver 1.0.docx</t>
  </si>
  <si>
    <t>20201223_UIUX(외환)_회의록_외환 1차 요구사항분석_Ver 1.0.docx
20210114_UIUX(외환)_회의록_외환 IT협의_Ver 1.0.docx
20210210_UIUX(외환)_회의록_외환 요구사항 변경_Ver 1.0.docx</t>
  </si>
  <si>
    <t>SM_위수탁사업부</t>
  </si>
  <si>
    <t>이상호 팀장/이정윤 대리/전동화 대리</t>
  </si>
  <si>
    <t>박형준 차장
권장우 대리</t>
  </si>
  <si>
    <t>김원주 차장
김기연 과장</t>
  </si>
  <si>
    <t>조세형 과장
이재민 대리</t>
  </si>
  <si>
    <t>황인태 차장
정광환 대리</t>
  </si>
  <si>
    <t>이재민 대리
안치형 대리</t>
  </si>
  <si>
    <t>김민지 대리</t>
  </si>
  <si>
    <t>조세형 과장
박형준 차장
권장우 대리
정관환 대리
최은정 과장</t>
  </si>
  <si>
    <t>김민지 대리
최은정 과장</t>
  </si>
  <si>
    <t>최은정 과장</t>
  </si>
  <si>
    <t>공통</t>
  </si>
  <si>
    <t>조세형 과장
박형준 차장
권장우 대리</t>
  </si>
  <si>
    <t>자산관리PO</t>
  </si>
  <si>
    <t>김원주 차장
임상택 과장</t>
  </si>
  <si>
    <t>김원주 차장
조희은 대리</t>
  </si>
  <si>
    <t>김원주 차장
신정근 대리</t>
  </si>
  <si>
    <t>김원주 차장
조세형 과장</t>
  </si>
  <si>
    <t>이재민 대리
김소정 대리</t>
  </si>
  <si>
    <t>이재민 대리
조세형 과장
유재현 대리</t>
  </si>
  <si>
    <t>이재민 대리
조세형 과장
유재현 대리
홍미나 과장</t>
  </si>
  <si>
    <t>정광환 대리
김경아 수석</t>
  </si>
  <si>
    <t>조세형 과장
정광환 대리</t>
  </si>
  <si>
    <t>이재민 대리
이동균 수석</t>
  </si>
  <si>
    <t>조세형 과장
조희숙 차장
문선희 대리</t>
  </si>
  <si>
    <t>조세형 과장
문선희 대리</t>
  </si>
  <si>
    <t>황인태 차장
조세형 과장
정광환 대리</t>
  </si>
  <si>
    <t>황인태 차장
정광환 대리
이웅배 대리</t>
  </si>
  <si>
    <t>조세형 과장
송윤종 수석</t>
  </si>
  <si>
    <t>이재민 대리
권장우 대리</t>
  </si>
  <si>
    <t>Biz요건ID</t>
    <phoneticPr fontId="29" type="noConversion"/>
  </si>
  <si>
    <t>Biz요건명</t>
    <phoneticPr fontId="29" type="noConversion"/>
  </si>
  <si>
    <t>요구사항구분</t>
    <phoneticPr fontId="3" type="noConversion"/>
  </si>
  <si>
    <t>생성단계</t>
    <phoneticPr fontId="3" type="noConversion"/>
  </si>
  <si>
    <t>상태구분</t>
    <phoneticPr fontId="3" type="noConversion"/>
  </si>
  <si>
    <t>출처</t>
    <phoneticPr fontId="3" type="noConversion"/>
  </si>
  <si>
    <t>사용자권한요구사항</t>
    <phoneticPr fontId="3" type="noConversion"/>
  </si>
  <si>
    <t>의뢰부서</t>
    <phoneticPr fontId="29" type="noConversion"/>
  </si>
  <si>
    <t>요구사항처리담당팀</t>
    <phoneticPr fontId="29" type="noConversion"/>
  </si>
  <si>
    <t>검토의견</t>
    <phoneticPr fontId="3" type="noConversion"/>
  </si>
  <si>
    <t>변경요구사항ID</t>
    <phoneticPr fontId="3" type="noConversion"/>
  </si>
  <si>
    <t>변경일</t>
    <phoneticPr fontId="3" type="noConversion"/>
  </si>
  <si>
    <t>근기문서</t>
    <phoneticPr fontId="3" type="noConversion"/>
  </si>
  <si>
    <t>수행사
담당자</t>
    <phoneticPr fontId="3" type="noConversion"/>
  </si>
  <si>
    <t>업무상세</t>
    <phoneticPr fontId="3" type="noConversion"/>
  </si>
  <si>
    <t>네이티브</t>
    <phoneticPr fontId="3" type="noConversion"/>
  </si>
  <si>
    <t>조건부승인</t>
    <phoneticPr fontId="3" type="noConversion"/>
  </si>
  <si>
    <t>N/A</t>
    <phoneticPr fontId="3" type="noConversion"/>
  </si>
  <si>
    <r>
      <t xml:space="preserve">- 先 진행(챗봇 고도화) 프로젝트에서 수용이 어려울 경우 통합검색 요건으로 변경 가능
-----------------------------------------------------------------------------------------
</t>
    </r>
    <r>
      <rPr>
        <sz val="9"/>
        <color rgb="FF00B0F0"/>
        <rFont val="KB금융 본문체 Light"/>
        <family val="3"/>
        <charset val="129"/>
      </rPr>
      <t xml:space="preserve">- 통합검색 內 음성인식(오픈소스) 기능 연계 추가
   ㅇ 음성을 통한 검색결과 동일 표출(음성 인식 후 결과에 대한 해당 화면 자동 이동 기능 제공)
- 자연어 검색을 통한 상품, 이벤트, 마케팅, FAQ 내용 검색 결과 제공
</t>
    </r>
    <r>
      <rPr>
        <sz val="9"/>
        <rFont val="KB금융 본문체 Light"/>
        <family val="3"/>
        <charset val="129"/>
      </rPr>
      <t xml:space="preserve">------------------------------------------------
통합검색 요건으로 변경(자연어 처리에 대한 구체화 필요)
</t>
    </r>
    <phoneticPr fontId="29" type="noConversion"/>
  </si>
  <si>
    <t xml:space="preserve"> 2. FDS 탐지 대상 거래 확대
       · AS-IS : 로그인, 이체예비/본, 고객 연락처 정보변경(단말, 콜센터), 인증서 발급 거래
       · TO-BE : 신용대출 신규, 고객 연락처 정보변경(KB모바일인증서 발급 과정 중 연락처 변경), 오픈뱅킹 이용기관 업무(잔액모으기, 이체 등), 추가인증거래 등의 대상 거래 추가
</t>
    <phoneticPr fontId="3" type="noConversion"/>
  </si>
  <si>
    <t xml:space="preserve">
[0205]
- TOBE 대상 거래 확정 및 상세 개발범위 확인 완료. 
- 개별 업무에서 진행할 수 있게 공통개발팀에서 가이드 제공, 실제 적용은 해당 업무 개발팀에서 진행. </t>
    <phoneticPr fontId="3" type="noConversion"/>
  </si>
  <si>
    <t>미래컨텍센터추진단</t>
    <phoneticPr fontId="3" type="noConversion"/>
  </si>
  <si>
    <t>김창영 수석</t>
    <phoneticPr fontId="3" type="noConversion"/>
  </si>
  <si>
    <t>BFE-23200</t>
    <phoneticPr fontId="3" type="noConversion"/>
  </si>
  <si>
    <t>BFE-23210</t>
    <phoneticPr fontId="3" type="noConversion"/>
  </si>
  <si>
    <t>네이티브</t>
    <phoneticPr fontId="29" type="noConversion"/>
  </si>
  <si>
    <t>기획상세 진행</t>
    <phoneticPr fontId="3" type="noConversion"/>
  </si>
  <si>
    <t>BFE-23290</t>
    <phoneticPr fontId="3" type="noConversion"/>
  </si>
  <si>
    <t>여신업무</t>
    <phoneticPr fontId="3" type="noConversion"/>
  </si>
  <si>
    <t>오의택 대리</t>
    <phoneticPr fontId="3" type="noConversion"/>
  </si>
  <si>
    <t>프로필 이미지 등록</t>
    <phoneticPr fontId="3" type="noConversion"/>
  </si>
  <si>
    <t>BFE-23400</t>
    <phoneticPr fontId="3" type="noConversion"/>
  </si>
  <si>
    <t>최진원 팀장</t>
    <phoneticPr fontId="3" type="noConversion"/>
  </si>
  <si>
    <t xml:space="preserve">AS IS 반영 후 SR로 진행 </t>
    <phoneticPr fontId="3" type="noConversion"/>
  </si>
  <si>
    <t>조세형 과장</t>
    <phoneticPr fontId="3" type="noConversion"/>
  </si>
  <si>
    <t>-담당자확인필요
단, 수신업무팀은 계좌별만 제공 가능(최영철 수석, 강경엽 차장)
     수신업무팀에서 취합은 하지 않음
오픈뱅킹은 수신업무팀 아님</t>
    <phoneticPr fontId="3" type="noConversion"/>
  </si>
  <si>
    <t>코어뱅킹2플랫폼부는 해당사항 없음</t>
    <phoneticPr fontId="3" type="noConversion"/>
  </si>
  <si>
    <t>권희영 차장/조형준 대리</t>
    <phoneticPr fontId="3" type="noConversion"/>
  </si>
  <si>
    <r>
      <t>- Mini Asset Board 제공
- 상품별/은행별/</t>
    </r>
    <r>
      <rPr>
        <strike/>
        <sz val="9"/>
        <color theme="1"/>
        <rFont val="KB금융 본문체 Light"/>
        <family val="3"/>
        <charset val="129"/>
      </rPr>
      <t xml:space="preserve">My계좌그룹별 계좌 </t>
    </r>
    <r>
      <rPr>
        <sz val="9"/>
        <color theme="1"/>
        <rFont val="KB금융 본문체 Light"/>
        <family val="3"/>
        <charset val="129"/>
      </rPr>
      <t xml:space="preserve">리스트 Sort조건 제공(조건에 따른 인덱스 제공)
- 인덱스 분류에 따른 보유계좌 리스트 제시 + 마케팅영역 (전행 맞춤형 상품 추천로직-데이터분석부) 제공
- 상품별
   ㅇ 인덱스 : 계정과목별 항목 제시 (보유 과목만 표시)
   ㅇ 계좌목록 : 카드형 정보 제공 (과목별 연계버튼 맞춤 제공)
   ※ 계좌별 연계 버튼 구성(안)
   1)요구불: 이체 or 입금 / 2)거치식: 추가입금 / 3)적립식: 입금 / 4) 시장성예금: 입금(과목코드 07 아닐때만 입금 노출) /  5)신탁: 입금·추가입금 (기타인 경우 미노출) / 6)펀드: 추가입금, 일괄입금(포트폴리오) / 7)대출: 이자납부, 상환 / 8)외환: 입금 / 9)골드: 입금 / 10)보험·공제: 추가입금 /  11)퇴직연금: 입금 / 12)다른은행(오픈뱅킹): 이체(요구불 限)
  ㅇ 전용화면 보유 계좌의 경우 별도 표시 방식 및 연계 제공
  ㅇ 하단 마케팅 영역 : 계정과목별 마케팅 상품 노출(전행상품추천시스템 비대면 전용 개발)
- 은행별
  ㅇ 은행별 클릭 시, 오픈뱅킹 미등록 고객은 우측에 오픈뱅킹 마케팅 영역 제시
  ㅇ 인덱스 : 은행별 항목 제시
  ※ 보유 중인 은행만 표시, 국민은행 → 가나다 → ABC 順 정렬
  ㅇ 인덱스 최상단에 '다른은행 추가' 버튼으로 오픈뱅킹 등록 유도
  ㅇ 계좌목록 : 은행별 → 계정과목별(상품별 리스트의 순서 준용) 순서로 제시
  ㅇ 하단 마케팅 영역 : 마케팅 상품 노출(전행상품추천시스템 비대면 전용 개발)
</t>
    </r>
    <r>
      <rPr>
        <strike/>
        <sz val="9"/>
        <color theme="1"/>
        <rFont val="KB금융 본문체 Light"/>
        <family val="3"/>
        <charset val="129"/>
      </rPr>
      <t>- 즐겨찾기 계좌 그룹 (고객 직접 설정 영역)
  ㅇ 인덱스 : 고객 설정 그룹관리 제목 &amp; 그룹 추가(+) 버튼
  ㅇ 최대 5개 그룹 설정 가능 / 그룹 삭제&amp;추가 기능 부여
  ㅇ 목록 : 1 Depth ~ 그룹 리스트 표출(각 리스트별 총 잔액)
  ㅇ 하단 마케팅 영역 : 앱 연계 배너</t>
    </r>
    <r>
      <rPr>
        <b/>
        <strike/>
        <sz val="9"/>
        <color theme="1"/>
        <rFont val="KB금융 본문체 Light"/>
        <family val="3"/>
        <charset val="129"/>
      </rPr>
      <t xml:space="preserve">
</t>
    </r>
    <r>
      <rPr>
        <b/>
        <sz val="9"/>
        <color rgb="FF00B0F0"/>
        <rFont val="KB금융 본문체 Light"/>
        <family val="3"/>
        <charset val="129"/>
      </rPr>
      <t>[0128] 당행/타행 카테고리 통합
- 카테고리 : 예적금, 펀드, 대출, 보험/공제, 외화, 골드, 신탁, 퇴직연금, 증권
- 오픈뱅킹 과목 : 입출금, 예적금, 펀드, 증권
- 리스트는 상품군을 default로 제공
- 예·적금 카테고리 : “입출금”, “예·적금” 분리
[0128] 즐겨찾기 계좌그룹은 대표계좌 메뉴에 중복되므로 요건 삭제</t>
    </r>
    <phoneticPr fontId="3" type="noConversion"/>
  </si>
  <si>
    <t>스타링크</t>
    <phoneticPr fontId="29" type="noConversion"/>
  </si>
  <si>
    <t>인사시스템/
연수시스템/
콜단말</t>
    <phoneticPr fontId="3" type="noConversion"/>
  </si>
  <si>
    <t>?</t>
    <phoneticPr fontId="3" type="noConversion"/>
  </si>
  <si>
    <t xml:space="preserve">-담당자확인필요
단, 수신업무팀은 계좌별만 제공 가능(최영철 수석, 강경엽 차장)
     수신업무팀에서 취합은 하지 않음
      신탁연금팀중  신탁상품 안종현 수석
      신탁연금팀중  퇴직연금 김상석 차장
      신탁연금팀중  펀드       채승훈 차장
       대출-이혜경 팀장(코어2부)
       외국환-공동희 팀장(코어2부)
</t>
    <phoneticPr fontId="3" type="noConversion"/>
  </si>
  <si>
    <t>코어뱅킹2부는 해당사항 없음</t>
    <phoneticPr fontId="3" type="noConversion"/>
  </si>
  <si>
    <r>
      <t xml:space="preserve">메모관련 기능
- 기존 요구사항 정의서 내, 메모관련 기능은 1안(최근 1년치 거래내역을 서버에 이중관리하여 최근 1년치에 대해서만 메모를 관리)으로 확정되었지만, 회의 과정에서 1안과 2안(거래내역원장에  메모를  구분코드로 관리  
       (예)  01 : 월세,  02:카드값 등  코드를 선택해서 관리))을 병합한 방향으로 의견 모아짐
- ‘1년치 메모’ 기준 정의(= 전체 데이터 중, 최근 1년치 데이터만 불러오는 것)
-   현재 ‘모바일 통장’ 內 메모를 입력할 수 있는 기능 제공 중이나, 깊은 뎁스로 인한 접근성 저하 (설계시 고려필요)
ㄴ‘모바일 통장’ 화면에 있는 메모기능을 불러오는것에 대한 논의를 진행했지만, 아직 확정되지 않은 상태임
</t>
    </r>
    <r>
      <rPr>
        <b/>
        <sz val="9"/>
        <color rgb="FF00B0F0"/>
        <rFont val="KB금융 본문체 Light"/>
        <family val="3"/>
        <charset val="129"/>
      </rPr>
      <t>→ 개별 거래내역에 자유메모 기능 제공, 메모검색은 제공하지 않음</t>
    </r>
    <phoneticPr fontId="3" type="noConversion"/>
  </si>
  <si>
    <r>
      <rPr>
        <strike/>
        <sz val="9"/>
        <color theme="1"/>
        <rFont val="KB금융 본문체 Light"/>
        <family val="3"/>
        <charset val="129"/>
      </rPr>
      <t>거래내역 &amp; 계좌 상세탭 제공 
- 러프하게 잡은 방향이긴 하지만, 가장 중요한 부분 / 해당 기능에 대한 심도 깊은 고민 필요
- 신규로 도입되는 기능(현재 제공 X) 
- 모든 상세정보 노출될 필요 없음 / 스뱅에서 현재 제공되고있는 정보와 추가로 제공되어야할 정보는 현업쪽 확인 후 수급 예정(현업→기획)
- 어떤 마케팅을 추가로 고려할 수 있는지에 대한 고민 필요
- 진입방식에 대한 고민필요(‘상세계좌조회 FLOW와 중첩되는 화면이 있으므로 설계시 이와 관련한 UI 구성필요)
ㄴex) 전체계좌조회 → 상세계좌조회 → 계좌상세(전용화면 &amp; 연계 Page)</t>
    </r>
    <r>
      <rPr>
        <sz val="9"/>
        <color theme="1"/>
        <rFont val="KB금융 본문체 Light"/>
        <family val="3"/>
        <charset val="129"/>
      </rPr>
      <t xml:space="preserve">
</t>
    </r>
    <r>
      <rPr>
        <b/>
        <sz val="9"/>
        <color rgb="FF00B0F0"/>
        <rFont val="KB금융 본문체 Light"/>
        <family val="3"/>
        <charset val="129"/>
      </rPr>
      <t xml:space="preserve">→ [요건변경] 해당 요건은 거래내역 상세화면요건과는 관련이 없음. 
계좌조회 시 요구불 계좌의 별도 관리메뉴기능에 대한 요건으로 추가. </t>
    </r>
    <phoneticPr fontId="3" type="noConversion"/>
  </si>
  <si>
    <r>
      <t xml:space="preserve">- 이체방식 통합
  ㅇ 다른은행 계좌 이체(즉시/예약)
  ㅇ 연락처 이체
-----------------------------------------------------------------
</t>
    </r>
    <r>
      <rPr>
        <sz val="9"/>
        <color rgb="FF0070C0"/>
        <rFont val="KB금융 본문체 Light"/>
        <family val="3"/>
        <charset val="129"/>
      </rPr>
      <t>(요건추가)
- 예약이체 : 단건만허용, 예약시간 1시간 단위로 적용
- 연락처 이체 : 즉시이체만 허용</t>
    </r>
    <phoneticPr fontId="3" type="noConversion"/>
  </si>
  <si>
    <r>
      <t xml:space="preserve">- 출금계좌 : 선택된 출금계좌의 잔액 &amp; 출금가능금액 즉시 노출
-----------------------------------------------------------------
</t>
    </r>
    <r>
      <rPr>
        <sz val="9"/>
        <color rgb="FF0070C0"/>
        <rFont val="KB금융 본문체 Light"/>
        <family val="3"/>
        <charset val="129"/>
      </rPr>
      <t>(요건변경)
- 출금계좌 당행 Default 노출
- 타행은 팝업 리스트 내 비노출, 계좌 선택시 바닥페이에서 잔액 노출</t>
    </r>
    <phoneticPr fontId="3" type="noConversion"/>
  </si>
  <si>
    <r>
      <t xml:space="preserve">- 받는 분
  ㅇ 내계좌 번호 수기입력 시에도 내계좌이체로 자동처리(비밀번호 X)
  ㅇ 계좌번호선택 : 자주쓰는계좌(★)→ 최근 거래내역 順 &amp;  연락처 2개 탭만 제시
-----------------------------------------------------------------
</t>
    </r>
    <r>
      <rPr>
        <sz val="9"/>
        <color rgb="FF0070C0"/>
        <rFont val="KB금융 본문체 Light"/>
        <family val="3"/>
        <charset val="129"/>
      </rPr>
      <t>(요건추가/변경)
- 내계좌 기준, 당행 -&gt; 타행(수기포함)이체시 비밀번호 생략
- 입금계좌 선택 항목 내 통합검색 기능 추가
(최근/자주/빠른/내계좌/연략처)
- 자주쓰는계좌 관리화면 이관(메뉴위치 이체 -&gt; 관리)
  * 자주쓰는계좌 등록/관리 내 그룹별 순서변경 및 오름차 Sorting 될 수 있도록  개선
- 최근거래내역 내 빠른이체는 아이콘으로 표기</t>
    </r>
    <phoneticPr fontId="3" type="noConversion"/>
  </si>
  <si>
    <r>
      <t xml:space="preserve">- 금액
  ㅇ 금액 입력시 1일 및 1회 잔여이체한도 및 이체한도 초과여부 안내, 이체 가능금액 비교 체크 안내
  ㅇ 잔액 초과 금액 입력시 예약이체로 전환 안내 (연락처송금 제외)
-----------------------------------------------------------------
</t>
    </r>
    <r>
      <rPr>
        <sz val="9"/>
        <color rgb="FF0070C0"/>
        <rFont val="KB금융 본문체 Light"/>
        <family val="3"/>
        <charset val="129"/>
      </rPr>
      <t>(요건변경)
- 잔액조회 당/타행 모두 적용, 잔여이체한도 체크는 당행만 적용
(오픈뱅킹 거래 후 이체한도 체크가능)
- 당행기준 잔액초과시 예약이체 전환 유도
- 다건/다계좌 예약이체 제외</t>
    </r>
    <phoneticPr fontId="3" type="noConversion"/>
  </si>
  <si>
    <t>- "이체결과조회(당행 계좌용)"와 "다른은행 계좌 이체결과조회(오픈뱅킹용)" 메뉴 통합 (ex. Tap방식 or 라디오 버튼 구분)
- 이체확인증 다운로드 기능 제공</t>
    <phoneticPr fontId="3" type="noConversion"/>
  </si>
  <si>
    <t>- 촬영 이체 : 솔루션 고도화 후 이체 화면으로 이동 (※ QR 생성 기능 포함)</t>
    <phoneticPr fontId="3" type="noConversion"/>
  </si>
  <si>
    <t>BFE-31170</t>
    <phoneticPr fontId="3" type="noConversion"/>
  </si>
  <si>
    <t>권장우 대리</t>
    <phoneticPr fontId="3" type="noConversion"/>
  </si>
  <si>
    <t>Biz-164</t>
    <phoneticPr fontId="3" type="noConversion"/>
  </si>
  <si>
    <t>모바일인증서 연결ID</t>
    <phoneticPr fontId="3" type="noConversion"/>
  </si>
  <si>
    <t>백은경 팀장
주희영 차장</t>
  </si>
  <si>
    <t>주희영차장 - 데이터분석플랫폼부(로보제안)
채승훈차장 - 코어뱅킹1플랫폼부(펀드)</t>
  </si>
  <si>
    <t>이상수</t>
  </si>
  <si>
    <t>&lt;전주-9주차&gt;</t>
    <phoneticPr fontId="3" type="noConversion"/>
  </si>
  <si>
    <t xml:space="preserve"> &lt; 전체현황 &gt;</t>
    <phoneticPr fontId="3" type="noConversion"/>
  </si>
  <si>
    <t>2/17 18시기준</t>
    <phoneticPr fontId="3" type="noConversion"/>
  </si>
  <si>
    <t>실시간</t>
    <phoneticPr fontId="3" type="noConversion"/>
  </si>
  <si>
    <t>공통(로그인/인증)</t>
    <phoneticPr fontId="3" type="noConversion"/>
  </si>
  <si>
    <t>자동로그인</t>
    <phoneticPr fontId="29" type="noConversion"/>
  </si>
  <si>
    <t>자동로그인 추가</t>
    <phoneticPr fontId="3" type="noConversion"/>
  </si>
  <si>
    <t xml:space="preserve">거래별 추가인증 방식 공통화 </t>
    <phoneticPr fontId="3" type="noConversion"/>
  </si>
  <si>
    <t>이상호 팀장/이정윤 대리/전동화 대리</t>
    <phoneticPr fontId="3" type="noConversion"/>
  </si>
  <si>
    <t>연락처 본인인증</t>
    <phoneticPr fontId="29" type="noConversion"/>
  </si>
  <si>
    <t>연락처 본인인증 단계 간소화</t>
    <phoneticPr fontId="29" type="noConversion"/>
  </si>
  <si>
    <t>모바일 인증서 모듈화</t>
    <phoneticPr fontId="29" type="noConversion"/>
  </si>
  <si>
    <t>인증화면 분리</t>
    <phoneticPr fontId="29" type="noConversion"/>
  </si>
  <si>
    <t>Biz-205</t>
    <phoneticPr fontId="3" type="noConversion"/>
  </si>
  <si>
    <t>Biz-048</t>
    <phoneticPr fontId="3" type="noConversion"/>
  </si>
  <si>
    <t>KB Pay</t>
    <phoneticPr fontId="29" type="noConversion"/>
  </si>
  <si>
    <t xml:space="preserve">- KB국민카드 Pay 서비스 연계(방식에 대한 추후 논의 필요)
   ㅇ 이용방식 : 충전식 선불카드
   ㅇ 이용가능고객 : 만 14 이상 ~ 19세 고객만 사용 가능(은행 회원/비회원 모두 사용가능)
   ㅇ 회원가입 : 휴대폰본인확인 &gt; 약관동의 &gt; 회원가입 
   ㅇ 회원원장 : KB pay 회원가입을 전제(로그인 처리를 위한 은행 내부 별도 원장 체계 구축 필요)
   ㅇ 로그인 : KB pay 전용 로그인 화면 필요
   ㅇ 서비스범위 : 잔액충전, 결재(KB pay 전 가맹점/온오프라인 포함), 송금(연락처)
[확장형 플랫폼 논의사항]
위 요건인 선불카드, 회원가입 등은 제외
전용 로그인 화면 필요 제외(확정 필요)
최종 보고 결과 확인 필요.
</t>
    <phoneticPr fontId="29" type="noConversion"/>
  </si>
  <si>
    <t>권희영 차장</t>
    <phoneticPr fontId="3" type="noConversion"/>
  </si>
  <si>
    <t>KB APP 및 계열사 APP안내 페이지 개선</t>
    <phoneticPr fontId="3" type="noConversion"/>
  </si>
  <si>
    <t>알면 도움되는 스타뱅킹 서비스</t>
    <phoneticPr fontId="29" type="noConversion"/>
  </si>
  <si>
    <t>김효은</t>
    <phoneticPr fontId="29" type="noConversion"/>
  </si>
  <si>
    <t>UI/UX</t>
    <phoneticPr fontId="3" type="noConversion"/>
  </si>
  <si>
    <t>접속방법 개선</t>
    <phoneticPr fontId="29" type="noConversion"/>
  </si>
  <si>
    <t>20201223_UIUX(외환)_회의록_외환 1차 요구사항분석_Ver 1.0.docx
20201230_UIUX(외환)_회의록_외환 2차 요구사항분석_Ver 1.0.docx
20210114_UIUX(외환)_회의록_외환 IT협의_Ver 1.0.docx
20210210_UIUX(외환)_회의록_외환 요구사항 변경_Ver 1.0.docx
20210217_UIUX(외환)_회의록_외환 IT협의_Ver 1.0.docx</t>
  </si>
  <si>
    <t>- 팝업 관리 기능 개선
  ㅇ 현재 인터넷뱅킹에서만 동작하는 팝업기능을 모바일에서도 동작하도록 기능 개선
------------------------------------
'- 인프라에서 프레임웍 진행 중
- Page ID를 사용하여 Popup Layer로 실행
- 상세화면설계시 Popup Layer 정의 필요
[02/22]
네이티브 관련 요건 포함(팝업 노출 구분을 위한 데이터 전달)</t>
  </si>
  <si>
    <t>20210218_UIUX(스타링크)_회의록_IT_요구사항분석_Ver1.0.docx</t>
    <phoneticPr fontId="3" type="noConversion"/>
  </si>
  <si>
    <t>마영신 차장</t>
  </si>
  <si>
    <t>Biz-039</t>
    <phoneticPr fontId="3" type="noConversion"/>
  </si>
  <si>
    <r>
      <t xml:space="preserve">- 요구불 거래내역 조회 개선
  ㅇ </t>
    </r>
    <r>
      <rPr>
        <strike/>
        <sz val="9"/>
        <color theme="1"/>
        <rFont val="KB금융 본문체 Light"/>
        <family val="3"/>
        <charset val="129"/>
      </rPr>
      <t>요구불 거래내역조회 화면 內 "입/출금 추이 차트" 제공</t>
    </r>
    <r>
      <rPr>
        <sz val="9"/>
        <color theme="1"/>
        <rFont val="KB금융 본문체 Light"/>
        <family val="3"/>
        <charset val="129"/>
      </rPr>
      <t xml:space="preserve"> : 입출금 추이차트는 현행과 같이 거래내역조회 내 메뉴기능으로 제공
  ㅇ 메모 기능 추가</t>
    </r>
    <r>
      <rPr>
        <strike/>
        <sz val="9"/>
        <color theme="1"/>
        <rFont val="KB금융 본문체 Light"/>
        <family val="3"/>
        <charset val="129"/>
      </rPr>
      <t xml:space="preserve">(기존 모바일통장 조회 기능 內 메모 기능 동기화 필요) </t>
    </r>
    <r>
      <rPr>
        <sz val="9"/>
        <color theme="1"/>
        <rFont val="KB금융 본문체 Light"/>
        <family val="3"/>
        <charset val="129"/>
      </rPr>
      <t xml:space="preserve">
     · 「모바일통장 조회」 메뉴 삭제
     · </t>
    </r>
    <r>
      <rPr>
        <strike/>
        <sz val="9"/>
        <color theme="1"/>
        <rFont val="KB금융 본문체 Light"/>
        <family val="3"/>
        <charset val="129"/>
      </rPr>
      <t>스타알림 內 '메모' Data는 미적재</t>
    </r>
    <r>
      <rPr>
        <sz val="9"/>
        <color theme="1"/>
        <rFont val="KB금융 본문체 Light"/>
        <family val="3"/>
        <charset val="129"/>
      </rPr>
      <t xml:space="preserve">
- 거래별 세부정보 내역 제공
  ㅇ 거래내역별 거래내역(다운로드&amp;공유) 기능 제공
  ㅇ 거래내역별 상세 정보 제공
   ·  ex. 일반 입출금 : 입출금 상세정보 (※ 카뱅 참조), 카드 결제내역 :  해당결제금액 정보 + 당월 소비항목 Top3 정보 + 이용내역 전체보기 + 마케팅 배너, 
            대출이자 출금 : 해당 납입이자금액 정보 + 우대금리 항목(금리우대 적용조건 부합여부 체크), 
            통신요금 출금 : 해당 출금 통신금액 정보 + 최근 3개월 통신요금 출금내역 + Liiv M 마케팅 영역 (마케팅 예 : "최저가 통신요금보다 통신비가 비쌀 경우요금정보 변경에 따라 관리) 등
</t>
    </r>
    <r>
      <rPr>
        <strike/>
        <sz val="9"/>
        <color theme="1"/>
        <rFont val="KB금융 본문체 Light"/>
        <family val="3"/>
        <charset val="129"/>
      </rPr>
      <t>- 거래내역 &amp; 계좌상세 탭 제공 (Default는 거래내역 제공)</t>
    </r>
    <r>
      <rPr>
        <sz val="9"/>
        <color theme="1"/>
        <rFont val="KB금융 본문체 Light"/>
        <family val="3"/>
        <charset val="129"/>
      </rPr>
      <t xml:space="preserve">
- 거치식/적립식 거래내역 등 계좌별 거래내역 화면 구성 요소 변경
- 계좌별 거래내역 內 연관 거래 버튼 재정리</t>
    </r>
    <r>
      <rPr>
        <b/>
        <sz val="9"/>
        <color theme="1"/>
        <rFont val="KB금융 본문체 Light"/>
        <family val="3"/>
        <charset val="129"/>
      </rPr>
      <t xml:space="preserve">
------------------------------
</t>
    </r>
    <r>
      <rPr>
        <b/>
        <sz val="9"/>
        <color rgb="FF00B0F0"/>
        <rFont val="KB금융 본문체 Light"/>
        <family val="3"/>
        <charset val="129"/>
      </rPr>
      <t>[0128] 거래내역다운로드는 공통 요구사항 내용으로 반영하여 진행
[0128] 거래별 상세내역
- default 제공하는 항목 정하고, 계열사 정보 등 특수 케이스 분류하여 유형화.
- 계열사에서 받을 수 있는 데이터와 거래내역에 실시간으로 불러오는지 확인 필요
[0128] 입출금 추이차트 제공
- 거래내역조회 화면에서 제공하지 않고, As-Is와 같이 더보기 메뉴에서 제공 유지.
- 자산관리에서 관련 요건 결과에 따라 해당 페이지에 반영.
[0223] 테크그룹 협의 내용
계열사 관련 화면 api 제공 : 가능
※ FBS, CMS 각 계열사 기관코드별 현재 누락된 맵핑된 코드를 강현우 대리에서 생성해주고 강경엽차장님이 어떤계열사 거래인지 구분 가능(해당 구분된 값으로 API연동화면 노출 필요)</t>
    </r>
    <phoneticPr fontId="3" type="noConversion"/>
  </si>
  <si>
    <t>-</t>
  </si>
  <si>
    <t>BFE-11020</t>
  </si>
  <si>
    <t>BFE-11030</t>
  </si>
  <si>
    <t>BFE-11031</t>
  </si>
  <si>
    <t>BFE-11040</t>
  </si>
  <si>
    <t>BFE-11041</t>
  </si>
  <si>
    <t>Biz-004</t>
  </si>
  <si>
    <t>프로젝트 지원 전문위원</t>
  </si>
  <si>
    <t>실시간 감지 기반 
EBM 확대</t>
  </si>
  <si>
    <t>Y</t>
  </si>
  <si>
    <t>개인마케팅단</t>
  </si>
  <si>
    <t>채널 상세 정의</t>
  </si>
  <si>
    <t>BFE-13010</t>
  </si>
  <si>
    <t>BFE-13020</t>
  </si>
  <si>
    <t>BFE-14010</t>
  </si>
  <si>
    <t>자산관리 메인</t>
  </si>
  <si>
    <t>My자산종합조회</t>
  </si>
  <si>
    <t>투자</t>
  </si>
  <si>
    <t>세테크</t>
  </si>
  <si>
    <t>은퇴</t>
  </si>
  <si>
    <t>하이브리드 전문가 상담</t>
  </si>
  <si>
    <t>연계 서비스</t>
  </si>
  <si>
    <t>AI 추천 서비스 구현</t>
  </si>
  <si>
    <t>수용율
(A+B)/S</t>
    <phoneticPr fontId="74" type="noConversion"/>
  </si>
  <si>
    <t>BFE-16010</t>
  </si>
  <si>
    <t>BFE-16020</t>
  </si>
  <si>
    <t>BFE-16030</t>
  </si>
  <si>
    <t>BFE-16040</t>
  </si>
  <si>
    <t>BFE-16050</t>
  </si>
  <si>
    <t>BFE-16060</t>
  </si>
  <si>
    <t>BFE-16070</t>
  </si>
  <si>
    <t>BFE-16080</t>
  </si>
  <si>
    <t>BFE-17010</t>
  </si>
  <si>
    <t>BFE-17030</t>
  </si>
  <si>
    <t>이경민 팀장
김효영 대리</t>
  </si>
  <si>
    <t>박준규
권영순</t>
  </si>
  <si>
    <t>박준규
황명환</t>
  </si>
  <si>
    <t>박준규
노은수</t>
  </si>
  <si>
    <t>전문위원</t>
    <phoneticPr fontId="3" type="noConversion"/>
  </si>
  <si>
    <t>Persona 적의를 통한 고객군(Segmentation) 분류 
     ㅇ 다양한 관점의 Peer 그룹 비교 및 맞춤형 서비스가 가능하도록 자산관리에 특화한 고객 세분화 정의
     ㅇ 정의한 페르소나를 바탕으로 고객군을 분류하고 현재 스타뱅킹 자산관리에서 보유하고 있는 서비스를 고객별로 맞춤 추천하는 룰 적용(BFE-16010 메인항목의 'AI 추천'에 적용하여 서비스)
     ㅇ 각 페르소나와 데이터 요소를 1:다 관계로 매핑 관계 정의 (고객 별 중복 페르소나 정의 가능), 페르소나에 따라 자산관리 내 서비스 및 콘텐츠를 특정영역(자산관리 메인의 AI추천)에서 배너 형식으로 가변 표출
     ㅇ 페르소나 확장 및 추천 서비스 변동 적용이 가능하도록 별도 DB 축적 및 관리자 테이블 설계 필요</t>
  </si>
  <si>
    <t>이상수
신재현</t>
  </si>
  <si>
    <t>박준규
신재현</t>
  </si>
  <si>
    <t>박준규
정지윤</t>
  </si>
  <si>
    <t>거부-이관</t>
  </si>
  <si>
    <t>거부-이관
( E)</t>
    <phoneticPr fontId="3" type="noConversion"/>
  </si>
  <si>
    <t>총합계
(S = A+B+C+D+E)</t>
    <phoneticPr fontId="74" type="noConversion"/>
  </si>
  <si>
    <t>진행율
(A+B+C+E)/S</t>
    <phoneticPr fontId="74" type="noConversion"/>
  </si>
  <si>
    <t>- 화면 구성 및 기능 개발
     ㅇ My 자산: 고객의 금융 자산 합산, 자산군별 합산(현금, 예적금, 투자상품, 외환, 연금(IRP 포함), 보험, 주식
            . 비금융(부동산) 및 대출 자산의 경우 고객이 My자산에 포함 여부를 선택할 수 있도록 토글 스위치 제공
            . 부동산의 경우 고객 직접 입력(주소 입력을 통한 시세 정보 연동-리브온 또는 금액 등 직접 입력 선택 필요)
            . 마이데이터를 기준으로 하며, 미동의 고객의 경우 오픈뱅킹, 오픈뱅킹 미동의 고객의 경우 당행 데이터를 기반으로 자산군 합산
            . KB 증권 고객인 경우 계열사 API를 통한 자산 합산(계열사 통합 화면의 정보제공 동의 씬 적용)
     ㅇ 투자자산: 보유상품 합산 (평가금액, 수익률), 누적(기해지 상품 수익금액을 포함한 당해 누적 수익금액, 및 수익률)
            . 대상 자산군: 펀드, 신탁, 주식
            . 현 보유 상품에 대한 원금, 평가금액, 수익금액 데이터 연계 필요(마이데이터 및 계열사 API(주식))
            * 마이데이터 반영 여부는 WM통합자산관리플랫폼 확인 필요
              (WM통합자산관리플랫폼에서 마이데이터플랫폼 자산정보를 받아 투자자산 리스트로 가공, 제공)
    ㅇ My캘린더: D-7일 기준 고객별 알림 표출 
           . 보유 상품 만기 알림, 보유상품 목표 수익률 도달 알림(상품부 데이터 연계 확인 필요), 
           . 관심상품 출시 예정 알림(ELS 등 청약 상품) -&gt; BEF-16080 AI 추천 서비스 구현의 데이터 활용하여 선택 표출
           . 오늘의할일(알림 리스트 정의 및 확인 필요) -&gt; 테크그룹/데이터 확인 필요
           . 마이데이터 동의 고객의 경우 타행 상품 만기 알림 포함
    ㅇ AI 추천: 고객 유형에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따라 서비스로 바로 이동하는 링크 표출
          . 고정: 자산관리 메뉴 중 고정거래 선택 페이지 제공
          . 최근: 고객이 가장 최근에 한 거래 (최근 거래 DB 저장 필요) -&gt; 데이터분석플랫폼부 등 확인하여 해당 데이터 제공하에 수용
          . 최다: 고객이 가장 많이 한 거래(Page view 수 등 빈도 DB 저장 필요) 
[관련 파일]
     - 파일명 : 1. NEW KB스타뱅킹 구축_전문위원_06.AI기반자산관리_서비스정의.pptx
* 마이데이터 기준의 자산군 구성 항목 정의(데이터 레이아웃(PK, 계좌 분류 정보, 데이터 속성(만기 등) 정보 등)는 다음의 파일 참조
* 마이데이터 미동의 고객의 경우 당행 기반 데이터 활용 -&gt; 마이데이터 전송 의무에 따라 내부 데이터와 마이데이터 매핑 정보는 마이데이터 플랫폼 데이터 레이아웃 정보를 통해 확보 가능 -&gt; 마이데이터 미동의 고객이더라도 전송의무 준수에 따라 당행정보를 마이데이터 플랫폼에서 마이데이터 레이아웃으로 변환하여 보관, 이에 따라 동일한 정보 형태로 사용함
[관련 파일]
     - 파일명 : 1. NEW KB스타뱅킹 구축_전문위원_06.AI기반자산관리_데이터정의_자산관리 CoA 정의_20210215_v0.7
                   2. [Backup] NEW KB스타뱅킹 구축_전문위원_06.AI기반자산관리_데이터정의_자산관리 CoA 정의_20210215_v0.7</t>
  </si>
  <si>
    <t>전문위원</t>
  </si>
  <si>
    <t>메인화면 구성 및 기능 개발</t>
  </si>
  <si>
    <t>- 유관 부서/시스템: 마이데이터플랫폼단/뉴마이머니
'- 마이데이터 연계: 마이데이터 플랫폼단 개발 화면 웹뷰 연계
- 마이데이터 동의 고객에 한해 자산관리 메인&gt;더보기&gt;자세히 보기 클릭시 본 메뉴로 이동
- 마이데이터 미동의 고객의 경우 동의하기 메뉴로 이동
- 화면 구성(안) - 마이데이터 플랫폼단 개발
     ㅇ 동의하기: 마이데이터 미동의 고객 랜딩 페이지
     ㅇ Dashboard: 마이데이터 동의 고객 랜딩 페이지
     ㅇ 자산통합조회
     ㅇ 지출 요약 조회
     ㅇ 목표챌린지
     ㅇ 특화서비스(신용관리, 통합세금관리, 연말정산, 기타혜택)</t>
  </si>
  <si>
    <t>마이데이터 개발 화면 웹뷰 연계</t>
  </si>
  <si>
    <t>- 유관 부서/시스템: WM투자전략부/자산관리 플랫폼, 데이터분석플랫폼부(분석 로직 적용)
- As-IS 자산관리플랫폼 기준으로 연계하고, WM통합자산관리플랫폼 신규 개발에 따라 선별적 연계 필요
- 화면 구성 및 기능 개발
     ㅇ 메인
           . 투자사자산 보유 현황: 펀드, 신탁, 주식의 합계액, 비중, 전영업일 및 전일 대비 변동 금액 및 변동율
           . 투자자산수익률/금액: 자산관리 메인에서의 표출 정보와 동일 &gt; 클릭시 '투자자산현황'으로 이동
           . 투자진단: 자산 규모 및 투자 성향 Peer 그룹과의 포트폴리오 구성 비교 그래프 표출(자산군 항목별 비중) &gt; 클릭 시 '자산분석/진단'으로 이동
           . AI연계 상품 추천: 포트폴리오 추천과 상품 추천 2개로 구성하고 포트폴리오 추천(클릭 시&gt; 'AI투자'의 '맞춤형 포트폴리오'로 이동) 과 상품 추천(클릭 시 &gt; 'AI 투자'의 'AI 맞춤연계 펀드 추천'으로 이동
           . 투자 도우미: 전문가 연결(스타링크(비대면상담) 바로연결/상담예약)과, 유투브 컨텐츠 링크
     ㅇ 투자자산현황 -&gt; WM통합자산관리 플랫폼 프로젝트 협의 필요
           . 전체: 합산
           . 항목별: 자산군(투자, 신탁, 주식)별, 상품별 원금, 평가금액, 수익금액, 수익률, 변동금액, 변동률 조회
           . 금융기관별: 금융기관의 계좌별, 상품별 원금, 평가금액, 수익금액, 수익률, 변동금액, 변동률 조회
     ㅇ 자산분석/진단: 고객의 보유한 포트폴리오 구성 진단  -&gt; WM통합자산관리 플랫폼 프로젝트 협의 필요
          . 자산관리 플랫롬 WM 엔진 적용한 보유 자산군, 상품 분석
     ㅇ AI 투자 -&gt; WM통합자산관리 플랫폼 프로젝트 협의 필요
          . 펀드/연금저축펀드/퇴직연금: 케이봇쌤 연계
          . 맞춤형 포트폴리오: 데이터분석플랫폼부 'WM자산관리엔진' 기반
          . AI연계 맞춤펀드 추천: 데이터분석 플랫폼부 분석 추천 적용
     ㅇ 목적자금설계(GBI): WM통합자산관리플랫폼 개발 내용 반영 -&gt; WM통합자산관리 플랫폼 프로젝트 협의 필요
[관련 파일]
     - 파일명 : 1. NEW KB스타뱅킹 구축_전문위원_06.AI기반자산관리_서비스정의.pptx</t>
  </si>
  <si>
    <t>- 유관 부서/시스템: WM투자자문부/NA
- 화면 구성 및 기능 개발
     ㅇ 메인: My 세금우대상품 잔여한도, 고객맞춤형 절세금융상품추천, 가입상품 현황 조회, 상품 추천, 세금계산기로 구성
           . My세금우대 잔여한도: 고객이 현재 가입한 상품 별 가입금액 및 잔여한도 조회
                  _ 가입금액이 0인 상품에 대해 상품 소개 및 가입화면 링크
                  _ 대상 상품:  1. IRP/연금저축, 2. ISA/재형저축/소장펀드, 3.저축성보험
                  _더보기 클릭시 &gt; 절세상품 현황 조회 이동
           . 고객 맞춤형 절세금융상품추천: '연말 정산 준비', '절세'의 2개 링크 제공, 클릭 시 &gt; '절세상품 추천'의 각 화면 이동
           . 세금계산기: 양도소득세, 증여세, 상속세,부동산취득세 등 4개 항목에 대해 링크 클릭시 &gt; 새무계산기 툴 팝업
     ㅇ 절세상품 현황 조회
           . 가입 상품명, 상품 기압일, 만기일, 비과세 혜택, 적용이율, 총한도, 가입금액, 잔여 한도 등 display -&gt; 보유 데이터 기준 입수 및 표출
     ㅇ 절세상품 추천
           . 가입가능 연말 정산 상품 리스트, 상세 정보, 혜택 정보 및 가입 프로세스 연계
           . 가입 가능 비과세 상품 리스트, 상세 정보, 혜택 정보 및 가입 프로세스 연계
     ㅇ 세무계산기
           . 메인화면에서 클릭한 계산기 항목에 따라 각각 계산기 Tool 디스플레이
           . 계산기 UX/UI 구현, 계산 로직 내재화 필요
[관련 파일]
     - 파일명 : 1. NEW KB스타뱅킹 구축_전문위원_06.AI기반자산관리_서비스정의.pptx</t>
  </si>
  <si>
    <t xml:space="preserve">- 유관 부서/시스템: 연금기획부
- 연금기획부에서 진행하는 As-Is 은퇴연금 메뉴 고도화 반영 필요
- 화면 구성 및 기능 개발
     ㅇ 메인
         . 연금자산 현황: 퇴직연금, 국민연금, 개인형IRP, 연금저축 별 납입액 및 합산 금액 표출,  클릭 시 상세 현황 조회 화면 표출 여부 결정 필요)
         . 은퇴설계 하러 가기 링크 표출: 간편설계, 맞춤설계 등 클릭 시 &gt; '은퇴설계' 포트폴리오의 각 화면 이동
         .  현황진단 및 분석:  생활비, 준비자금. 부족자금 등 
         . 비교군과의 준비현황 비교
         . 골든라이프X: 골든라이프X 플랫폼 링크 배너 표출(SSO 연동 고려 필요)
     ㅇ 은퇴설계
         . 은퇴설계 포트폴리오: 간편설계, 맞춤설계 상세
         . 케이봇쌤 연금관리: 케이봇쌤 연금포트폴리오 설계 </t>
  </si>
  <si>
    <t>- 유관 부서/시스템: WM투자자문부
- 화면 구성 및 기능 개발
     ㅇ 메인
         . 상담 신청 내역 : 고객의 최근 상담 이력 정보, 상담 신청 중인 경우 신청내역(상담예정일시 등) 표출, 클릭 시 &gt; '상담신청내역조회/관리'로 이동
               _ 신청 이력이 없는 경우 전문가 상담 서비스 소개 화면 구성
        . 상담 신청: 세무상담, 부동산상담, 은퇴상담, 영업점 상담 등 연계 링크 표출
       . 전문가 칼럼: 인뱅의 자산관리&gt;전문가칼럼에서 제공 중인 콘텐츠를 스뱅용으로 표출 -&gt; 현재 스뱅용 존재
    ㅇ 예약상담 신청
       . 메인의 '상담 신청' 에서 클릭한 상담요청 항목에 따라 상담 신청 진행(관련 담당자 정보 연계 고려)
       . 상담 신청 일자, 시간, 상담 신청 내용(상담 유형 선택 or 직접 입력)을 입력하고 신청 완료할 수 있도록 구현 -&gt; As-is 전환 개발
    ㅇ  상담신청내역조회/관리 -&gt; 상담 신청 화면에서 처리
       . 고객이 상담 신청한 내역(상담 항목, 예정 일시, 처리 담당자 등) 표출하고, 예약 변경/취소 화면 제공</t>
  </si>
  <si>
    <t>- 확장형 종합금융 플랫폼 과제에서 정의한 연계 씬 활용하여 KB 증권, 부동산, KB손해보험의 각 랜딩 페이지 연계
- 연계 대상 계열사
     ㅇ KB 증권; 투자 메뉴의 주식 콘텐츠를 통해 연계
     ㅇ 부동산 리브온: My자산의 비금융(부동산) 콘텐츠를 통해 연계
     ㅇ KB손해보험: My자산의 보험 콘텐츠를 통해 연계</t>
  </si>
  <si>
    <t>웹뷰 연계(확장형 금융 플랫폼 과제 연동)</t>
  </si>
  <si>
    <t>DB 설계 및 UX/UI 구현</t>
  </si>
  <si>
    <t>투자수익률 및
분석 진단 로직 제공</t>
  </si>
  <si>
    <t>My캘린더 기능 제공</t>
  </si>
  <si>
    <t>거부-통폐합
(F)</t>
    <phoneticPr fontId="3" type="noConversion"/>
  </si>
  <si>
    <t>총합계
(S = A+B+C+D+E+F)</t>
    <phoneticPr fontId="74" type="noConversion"/>
  </si>
  <si>
    <t>진행율
(A+B+C+E+F)/S</t>
    <phoneticPr fontId="74" type="noConversion"/>
  </si>
  <si>
    <t>20210305_전문위원(자산관리)_회의록_전문위원 요건 처리_v1.0.docx</t>
  </si>
  <si>
    <t>거부-통폐합</t>
  </si>
  <si>
    <t>BFE-31160</t>
    <phoneticPr fontId="3" type="noConversion"/>
  </si>
  <si>
    <t>BFE-31120</t>
    <phoneticPr fontId="3" type="noConversion"/>
  </si>
  <si>
    <t>20201221_인프라_회의록_인프라요구사항정의_v1.0.docx
20210105_인프라_회의록_인프라요구사항정의_v1.0.docx</t>
  </si>
  <si>
    <t>20201221_인프라_회의록_인프라요구사항정의_v1.0.docx</t>
  </si>
  <si>
    <t>20201218_인프라_회의록_인프라요구사항정의_v1.0.docx</t>
  </si>
  <si>
    <t>20201218_인프라_회의록_인프라요구사항정의_v1.0.docx
20201222_인프라_회의록_인프라요구사항정의_v1.0.docx
20210105_인프라_회의록_인프라요구사항정의_v1.0.docx</t>
  </si>
  <si>
    <t>BFE_요구사항추적표.xlsx에 요구사항별 도출된 프로그램목록 매핑처리함</t>
    <phoneticPr fontId="3" type="noConversion"/>
  </si>
  <si>
    <t>메타표준 준수에 대한 AA상시검토결과서, DA상시검토결과서로 제출함</t>
    <phoneticPr fontId="3" type="noConversion"/>
  </si>
  <si>
    <r>
      <t xml:space="preserve">- 비대면 처리 불가시 상담거래 자동 연계
   ㅇ 비대면 업무처리가 불가한 경우(오류메시지 등) 에러 표시 후 챗봇 상담연계 
      · 오류 메시지 2회 노출시 챗봇 화면으로 이동
  </t>
    </r>
    <r>
      <rPr>
        <strike/>
        <sz val="9"/>
        <color rgb="FFFF0000"/>
        <rFont val="KB금융 본문체 Light"/>
        <family val="3"/>
        <charset val="129"/>
      </rPr>
      <t xml:space="preserve"> ㅇ 비대면 업무처리 中 영업점 필수 업무 선택시 ‘스마트예약상담’ 거래연동 및 필요서류 안내
</t>
    </r>
    <r>
      <rPr>
        <sz val="9"/>
        <color rgb="FFFF0000"/>
        <rFont val="KB금융 본문체 Light"/>
        <family val="3"/>
        <charset val="129"/>
      </rPr>
      <t xml:space="preserve">-----------------------------
- 에러메시지 內 상담전화가 표시되어 연결하는 경우 콜봇(SSO)이나 챗봇으로 연계
-----------------------------
</t>
    </r>
    <phoneticPr fontId="29" type="noConversion"/>
  </si>
  <si>
    <r>
      <rPr>
        <strike/>
        <sz val="9"/>
        <color rgb="FFFF0000"/>
        <rFont val="KB금융 본문체 Light"/>
        <family val="3"/>
        <charset val="129"/>
      </rPr>
      <t>- 문자 기반 이체 신설
  ㅇ 1안) 문자 복사후 위젯에서 '이체하기' 선택 시 스타뱅킹 이체화면으로 이동 및 문자 복사내역 출력하여 이체 정보 셋팅  완료
  ㅇ 2안) 위젯에서 스타뱅킹 연동없이 이체 실행(자동로그인 설정고객&amp;위젯설정 고객) (※ 토스 위젯 참조)
  ㅇ 이체관련 문자 복사시 스타뱅킹 연동 알림 제공</t>
    </r>
    <r>
      <rPr>
        <sz val="9"/>
        <color rgb="FFFF0000"/>
        <rFont val="KB금융 본문체 Light"/>
        <family val="3"/>
        <charset val="129"/>
      </rPr>
      <t xml:space="preserve">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 필요.</t>
    </r>
    <phoneticPr fontId="3" type="noConversion"/>
  </si>
  <si>
    <t>- 앱접근성 준수(솔루션 점검 포함)
---------------------------------------------------------------------------------------------
- AS-Is 솔루션 점검 대상 및 해당 솔루션이 적용된 화면 대상에 대해서는 현업 정리 후 접근성 테스트 예정
- New 스타뱅킹 접근성 점검 대상은 주요 거래를 중심으로 점검, 점검 대상은 추후 KB와 협의 후 결정
- 국문, 다국어 포함, 모바일 웹은 점검 대상 제외
- 점검 시점은 화면설계서 작성 전 접근성 컨설팅 진행, 퍼블리싱 개발 1차 전달 전 점검, 통합테스트 2차 시점에 접근성 점검 및 통합테스트 3차 시점에  적용 결과 점검</t>
    <phoneticPr fontId="3" type="noConversion"/>
  </si>
  <si>
    <r>
      <t xml:space="preserve">- 기 구현된 FDS 로그 정보 수집 및 거래제어 등 현행 서비스 구현사항 준용
   ㅇ 로그인, 인증, 이체 등
-----------------------------------------------------------------------------------------------------------
</t>
    </r>
    <r>
      <rPr>
        <strike/>
        <sz val="10"/>
        <color theme="1"/>
        <rFont val="KB금융 본문체 Light"/>
        <family val="3"/>
        <charset val="129"/>
      </rPr>
      <t>- 전자금융사기 예방을 위한 FDS 로그수집항목 및 탐지대상 거래 확대
   1. The K MCI 공통부에 수집되는 사용자(기기) 정보 등 수집대상 항목 확대
※ IT서비스개발부(FDS 시스템)와 공동 개발</t>
    </r>
    <phoneticPr fontId="3" type="noConversion"/>
  </si>
  <si>
    <r>
      <t xml:space="preserve">- 스타샷과 변경/신고/재발급 각 동일 기능 메뉴 통폐합
  ㅇ 등록/변경 : 자동이체 등록/변경, </t>
    </r>
    <r>
      <rPr>
        <strike/>
        <sz val="9"/>
        <color theme="1"/>
        <rFont val="KB금융 본문체 Light"/>
        <family val="3"/>
        <charset val="129"/>
      </rPr>
      <t xml:space="preserve">⑭ 계좌간자동이체)
</t>
    </r>
    <r>
      <rPr>
        <sz val="9"/>
        <color theme="1"/>
        <rFont val="KB금융 본문체 Light"/>
        <family val="3"/>
        <charset val="129"/>
      </rPr>
      <t xml:space="preserve">
(요건변경)
자동이체 조회/변경/해지 메뉴 내 통합</t>
    </r>
    <phoneticPr fontId="29" type="noConversion"/>
  </si>
  <si>
    <r>
      <t xml:space="preserve">- 복수 ID계정전환 버튼 제공
</t>
    </r>
    <r>
      <rPr>
        <strike/>
        <sz val="9"/>
        <color theme="1"/>
        <rFont val="KB금융 본문체 Light"/>
        <family val="3"/>
        <charset val="129"/>
      </rPr>
      <t xml:space="preserve">  ㅇ 다른 ID로 자유로운 계정 전환 기능 부여(본인계정 限) 
      ex. 마이페이지에서 고객명 눌러 계정 전환</t>
    </r>
    <r>
      <rPr>
        <sz val="9"/>
        <color theme="1"/>
        <rFont val="KB금융 본문체 Light"/>
        <family val="3"/>
        <charset val="129"/>
      </rPr>
      <t xml:space="preserve">
[2021.02.10]
복수ID보유 고객일 경우 로그인시 마이페이지 or 전체메뉴에서 '계정전환'버튼을 두어 AS-IS 인증/보안&gt; KB모바일인증서 &gt; 인증서 연결ID조회/변경 화면 이동 할 수 있도록 루트를 제공함, 프로세스 기존유지 
[2021-02-18] 요구사항명 변경(이재민대리 확인완료)
</t>
    </r>
    <r>
      <rPr>
        <strike/>
        <sz val="9"/>
        <color theme="1"/>
        <rFont val="KB금융 본문체 Light"/>
        <family val="3"/>
        <charset val="129"/>
      </rPr>
      <t xml:space="preserve">  ㅇ 통합 ID 서비스 가입 시 전계좌조회 영역에 통합계좌 함께 관리할 수 있도록 개선
- 부기명 ID 노출 미희망 고객을 위한 '아이디 숨기기' (등록/해제) 기능 제공
  ㅇ 오픈뱅킹의 "계좌 숨기기"와 같이, 다른 ID로 접속 전환 또는 통합조회를 원하지 않는 고객을 위한 서비스
  ㅇ 등록/해제 절차 관련 상세 요건은 추가 검토 필요
- 전계좌조회에서 통합ID선택 가능하도록 변경 –&gt; 이체는 조회에서 연동</t>
    </r>
    <r>
      <rPr>
        <sz val="9"/>
        <color rgb="FF0000FF"/>
        <rFont val="KB금융 본문체 Light"/>
        <family val="3"/>
        <charset val="129"/>
      </rPr>
      <t/>
    </r>
    <phoneticPr fontId="29" type="noConversion"/>
  </si>
  <si>
    <r>
      <t xml:space="preserve">- 내정보 관련 화면 통합으로 GateWay역할을 하는 메뉴 제공
  ㅇ 개인정보 노출 항목 : 고객명,  개인화메시지, 피싱방지 개인화이미지, 아이디, 고객등급, 사용자암호 수정 , 내정보 수정
      · 내정보조회/수정 메뉴 통합 및 개선 (* 주소 노출- 마스킹 처리 관련)
      · ID조회/사용자암호 재설정 -&gt; 연결 제공
  ㅇ 상품 노출항목 : 진행 중 상품, 장바구니 담긴 상품, 관심상품
  ㅇ 가입되어 있는 보안서비스 목록 한번에 확인 되도록 표시
</t>
    </r>
    <r>
      <rPr>
        <strike/>
        <sz val="9"/>
        <color theme="1"/>
        <rFont val="KB금융 본문체 Light"/>
        <family val="3"/>
        <charset val="129"/>
      </rPr>
      <t xml:space="preserve">  ㅇ 내정보조회/수정 메뉴 통합 및 개선
  ㅇ 고객우대제도 일부 노출(스타클럽 등급)
  ㅇ 내 정보 관리 &gt; 내 정보 조회에 ID 정보 추가
  ㅇ ID조회/사용자암호 재설정 -&gt; 연결 제공
     * 주소 노출- 마스킹 처리 관련</t>
    </r>
    <phoneticPr fontId="29" type="noConversion"/>
  </si>
  <si>
    <t>검토 상태</t>
    <phoneticPr fontId="29" type="noConversion"/>
  </si>
  <si>
    <t>- 챗봇 기능요건 업무 검토 후 진행완료</t>
    <phoneticPr fontId="3" type="noConversion"/>
  </si>
  <si>
    <t>권영순부장</t>
  </si>
  <si>
    <t>신재현이사</t>
  </si>
  <si>
    <t>이정환부장</t>
  </si>
  <si>
    <t>손희동부장</t>
  </si>
  <si>
    <t>황명환이사</t>
  </si>
  <si>
    <t>이상수책임</t>
  </si>
  <si>
    <t>요구사항추적표담당자</t>
    <phoneticPr fontId="3" type="noConversion"/>
  </si>
  <si>
    <t>정찬민이사</t>
  </si>
  <si>
    <t>지현동수석</t>
  </si>
  <si>
    <t>김준구상무</t>
  </si>
  <si>
    <t>- 고객친화적인 설명과 직관적인 표현, 세련된 디자인
- Micro인터랙션 활용
- ‘New스타뱅킹’ 지원 OS 및 기종별 최적화된 UX/UI 적용
   ㅇ 기기 해상도에 따른 텍스트/이미지 표시오류 최소화
    -&gt; 기준 해상도는 750 사이즈로 디자인 적용. 320 사이즈까지 퍼블리싱 대응
    -&gt; 이미지는 2배수까지만 적용
- ‘고객언어관리’ 시스템을 이용한 용어교정
- 백버튼에 대한 정의 및 공통 적용(바닥메뉴 사용 X)
[02/22]
네이티브 요건은 백버튼에 대한 정의만 해당.(별도 논의 요청 -&gt; 차주, 김원용 수석)</t>
    <phoneticPr fontId="3" type="noConversion"/>
  </si>
  <si>
    <t>앱 접근성 테스트 및 점검 결과서로 제출함(통테3차시점)
20210108_UIUX(접근성)_회의록_접근성 요건 협의_ver1.0.docx</t>
    <phoneticPr fontId="3" type="noConversion"/>
  </si>
  <si>
    <r>
      <t xml:space="preserve">- 자동로그인 기능 신설
   ㅇ 등록조건
      · 휴대폰 기기 잠금설정 필수 (잠금설정 해제 시 자동로그인 자동해제)
      · 1인 1기기 정책(새 기기에 등록되면 기존 기기 자동로그인은 자동 해제)
      · 모바일인증서 사용자만 가능
      · 자동로그인 설정기간 지정하여 재설정하도록 유도 (ex. 6개월 단위로 자동로그인 갱신)
   </t>
    </r>
    <r>
      <rPr>
        <strike/>
        <sz val="9"/>
        <color theme="1"/>
        <rFont val="KB금융 본문체 Light"/>
        <family val="3"/>
        <charset val="129"/>
      </rPr>
      <t>ㅇ 프로세스: 이용약관 동의 &gt; 추가본인인증 (ARS/휴대폰 본인인증) &gt; 가입완료</t>
    </r>
    <r>
      <rPr>
        <sz val="9"/>
        <color theme="1"/>
        <rFont val="KB금융 본문체 Light"/>
        <family val="3"/>
        <charset val="129"/>
      </rPr>
      <t xml:space="preserve">
- 자동로그인 ON/OFF 설정 페이지(로그인 화면, 설정 메뉴) 제공
   ㅇ 자동로그인 ON 설정시 모바일인증서 결제비밀번호(6자리) 1회 입력 후 가능
   ㅇ 복수 아이디 사용자의 경우 사전 안내 공지
</t>
    </r>
    <r>
      <rPr>
        <strike/>
        <sz val="9"/>
        <color theme="1"/>
        <rFont val="KB금융 본문체 Light"/>
        <family val="3"/>
        <charset val="129"/>
      </rPr>
      <t>- 자동로그인 설정 시 소액 간편이체서비스 자동 가입
   ㅇ 1일 이체 한도 : 이체시 1일 누적 200만원 이하 소액이체만 가능</t>
    </r>
    <r>
      <rPr>
        <sz val="9"/>
        <color theme="1"/>
        <rFont val="KB금융 본문체 Light"/>
        <family val="3"/>
        <charset val="129"/>
      </rPr>
      <t xml:space="preserve">
※ 現 ‘계좌뷰’ 기능 삭제에 따른 고객 불편 해소
검토사항
- 자동로그인 실패시 예외 처리 방법 논의 필요(앱을 종료할 경우 사용불가 상태에 빠짐)
- 앱성능 향상을 위해 앱위변조 검증 단계 간소화에 대한 자동로그인 적용방법 논의 필요.(자동로그인에 한정된 사항은 아님) </t>
    </r>
    <phoneticPr fontId="29" type="noConversion"/>
  </si>
  <si>
    <t>- 스타뱅킹 外 앱에서 모바일인증서 호출시 App-in-App 형태 구동 (Native 앱 구조 변경사항)
   ㅇ 프로세스 변경
      · As-is : 타 앱에서 모바일인증서 호출 시 App to App 형태로 스타뱅킹이 전면 활성화되어 연결 속도 저하
      · To-be : 타 앱에서 모바일인증서 호출 시 App-in-App 형태로 구현 (스타뱅킹 자체는 로딩없이 비활성화하고 인증 화면만 반키패드 형태 노출) 
   ㅇ 모바일인증서 연계 적용되는 타 앱/계열사 연동 개발 필요(마이머니, 리브, KB손해보험 등)
- 당행 및 계열사 다른 앱에서 KB모바일인증서 구동 시 빠르고 자연스러운 인증화면 전환 ([목표] 카카오페이인증 보다 신속하게)
[02/22]
- 인트로화면 노출 후 모바일인증서 로그인 화면으로 진행되게 구현
- 연동로그인 화면이 현재 하이브리드 화면으로 구현되어 있음. -&gt; TOBE에서는 네이티브 전환 검토(변경수정사항 발생시 앱배포 이슈 있음) -&gt; 연계 화면별로 적용 가능여부 추가 검토 후 진행</t>
    <phoneticPr fontId="3" type="noConversion"/>
  </si>
  <si>
    <t>[스타뱅킹을 통한 콜봇서비스 제공]
- 구현방안
  1안) 모바일 App -&gt; 앱내 콜봇 아이콘 -&gt; 전화발신을 통한 콜봇 연계 
  2안) 모바일 App -&gt; 앱내 콜봇 아이콘 -&gt; 마이크 기능을 통한 콜봇 연계
     [모바일 App &gt; 모바일 마이크기능 활성화 음성발화 &gt; 데이터 음성으로 변환 - App GW(Web-음성변환) &gt; 콜봇 GW &gt; STT &gt; NLU/NLP &gt; TTS]
  2안)구축요건 검토
[0218] 해당 부서 프로젝트 진행 재검토 중으로 요건 삭제 여부 확인 중 &lt;- 삭제처리협의완료</t>
    <phoneticPr fontId="29" type="noConversion"/>
  </si>
  <si>
    <t>-[알림정보 표시]
  ㅇ 스타뱅킹 접속 시 고객이 인지하기 쉽도록 메인화면에 주요 알림표기개발 
    · 연체중인 채권 및 가상계좌 안내 - 삭제
    · 이자납입예정일 안내(D-5 이내) - 알림요건에 포함
    · 1개월 이내 만기일도래 안내 등 - 삭제
  ㅇ Pop-up 및 캘린더 기능을 통한 제공 - 개인화 마이페이지에 반영(팝업은 제외)
  ㅇ 계좌상태 등을 컬러표기 하여 인식률 향상 - 별도 요건으로 이관
[0217] 홈화면 내 알림요건으로 통합여부 검토 요청함. &lt;- 삭제처리키로 협의완료</t>
    <phoneticPr fontId="3" type="noConversion"/>
  </si>
  <si>
    <r>
      <rPr>
        <strike/>
        <sz val="9"/>
        <color theme="1"/>
        <rFont val="KB금융 본문체 Light"/>
        <family val="3"/>
        <charset val="129"/>
      </rPr>
      <t xml:space="preserve">- 즐겨찾기 계좌 그룹 상세 화면 제공
  ㅇ 그룹별 계좌 목록 및 총 금액 표시
     · 모든 계정과목 그룹핑 가능(오픈뱅킹 포함) </t>
    </r>
    <r>
      <rPr>
        <sz val="9"/>
        <color theme="1"/>
        <rFont val="KB금융 본문체 Light"/>
        <family val="3"/>
        <charset val="129"/>
      </rPr>
      <t xml:space="preserve">
  ㅇ 계좌 그룹 內 이체 기능 제공
     · 계좌 리스트에서 Drag &amp; Drop으로 옮겨담아 간편 이체기능 제공 (내계좌 간의 거래로 비밀번호 입력 X)
     · 출금활성화 계정과목 : 요구불 Only(외화계좌 제외, 다른 계정과목은 비활성화)
     · 출금 영역은 다계좌 지원 
※ 상세요건 추후 변경 가능</t>
    </r>
    <r>
      <rPr>
        <b/>
        <sz val="9"/>
        <color theme="1"/>
        <rFont val="KB금융 본문체 Light"/>
        <family val="3"/>
        <charset val="129"/>
      </rPr>
      <t xml:space="preserve">
</t>
    </r>
    <r>
      <rPr>
        <b/>
        <sz val="9"/>
        <color rgb="FF00B0F0"/>
        <rFont val="KB금융 본문체 Light"/>
        <family val="3"/>
        <charset val="129"/>
      </rPr>
      <t>→ [요건변경] 대표계좌 메뉴, 즐겨찾기 계좌그룹은 중복되는 기능으로 대표계좌 설정 요건은 유지하고 즐겨찾기 계좌그룹 요구사항 삭제. 계좌 그룹 내 이체 기능(드래그앤드랍 기능) 제공으로 요건 재정의. only 요구불 간 이체.
→ [검토사항]
- 해당기능 추가시 '충전하기', '잔액모으기'와 중복되는 부분 정책 결정 필요.</t>
    </r>
    <phoneticPr fontId="3" type="noConversion"/>
  </si>
  <si>
    <r>
      <t xml:space="preserve">- 비대면 실명확인 절차 간소화 
   ㅇ 로그인 후 비대면 실명확인 수행한 경우, 동일 세션 內 추가 실명확인 대상 (2+1 거래)실행 생략
      · 인증서 발급 등 거래에 따라 차등 적용가능
</t>
    </r>
    <r>
      <rPr>
        <sz val="9"/>
        <color rgb="FF00B0F0"/>
        <rFont val="KB금융 본문체 Light"/>
        <family val="3"/>
        <charset val="129"/>
      </rPr>
      <t xml:space="preserve">
[0205]
- 적용 제외 대상 업무는 개인뱅킹플랫폼부에서 상세화면 설계 중 업무단위로 확인,
- 개별 업무에서 진행할 수 있게 공통개발팀에서 가이드 제공, 실제 적용은 해당 업무 개발팀에서 진행.</t>
    </r>
    <r>
      <rPr>
        <sz val="9"/>
        <color theme="1"/>
        <rFont val="KB금융 본문체 Light"/>
        <family val="3"/>
        <charset val="129"/>
      </rPr>
      <t xml:space="preserve"> </t>
    </r>
    <phoneticPr fontId="29" type="noConversion"/>
  </si>
  <si>
    <t>20210205_UXUI(공통)_회의록_요구사항분석_로그인.인증.기타_ver1.0.docx</t>
    <phoneticPr fontId="3" type="noConversion"/>
  </si>
  <si>
    <t>20201229_UXUI(공통)_회의록_로그인,인증,관리,메인, 계열사외부연계 관련 2차 요건협의_ver1.0.docx</t>
    <phoneticPr fontId="3" type="noConversion"/>
  </si>
  <si>
    <t>20201224_UIUX(공통)_회의록_기타공통_1차 요구사항분석_ver1.0.docx</t>
    <phoneticPr fontId="3" type="noConversion"/>
  </si>
  <si>
    <t>20210208_UXUI(공통)_회의록_요구사항분석_네이티브_ver1.0.docx</t>
    <phoneticPr fontId="3" type="noConversion"/>
  </si>
  <si>
    <t>20210128_UXUI(조회)_회의록_조회 1차 IT요건협의_ver1.0.docx</t>
    <phoneticPr fontId="3" type="noConversion"/>
  </si>
  <si>
    <t>20201228_UIUX(상품라운지)_회의록_2차 요구사항분석_ver1.0.docx
BFE_UI및UX가이드.pptx 반영</t>
    <phoneticPr fontId="3" type="noConversion"/>
  </si>
  <si>
    <t>20210225_UIUX(요구사항정의서)_회의록_요구사항 삭제 요건 협의_1.0.docx</t>
    <phoneticPr fontId="3" type="noConversion"/>
  </si>
  <si>
    <t>20210122_UXUI(조회)_회의록_조회 3차 요건협의_ver1.0.docxx</t>
    <phoneticPr fontId="3" type="noConversion"/>
  </si>
  <si>
    <r>
      <t xml:space="preserve">- 고객 Needs에 따른 DIY 기능 제공
(필요시 기존 스타뱅킹 거래, New스타뱅킹 사용)
  </t>
    </r>
    <r>
      <rPr>
        <strike/>
        <sz val="9"/>
        <color theme="1"/>
        <rFont val="KB금융 본문체 Light"/>
        <family val="3"/>
        <charset val="129"/>
      </rPr>
      <t xml:space="preserve"> ㅇ 전체메뉴의 개인별 설정(필수 노출 메뉴는 수정 불가)</t>
    </r>
    <r>
      <rPr>
        <sz val="9"/>
        <color theme="1"/>
        <rFont val="KB금융 본문체 Light"/>
        <family val="3"/>
        <charset val="129"/>
      </rPr>
      <t xml:space="preserve">
   ㅇ My메뉴</t>
    </r>
    <r>
      <rPr>
        <strike/>
        <sz val="9"/>
        <color theme="1"/>
        <rFont val="KB금융 본문체 Light"/>
        <family val="3"/>
        <charset val="129"/>
      </rPr>
      <t>, 생활금융 콘텐츠, 목표설정 등 화면에 설정 기능 제공</t>
    </r>
    <phoneticPr fontId="29" type="noConversion"/>
  </si>
  <si>
    <t xml:space="preserve">[0420]BFE-23041과 중복
[0222] 테크그룹 화상회의
영수증 발급이 아닌, 대면 납부 수수료 내역 조회 요건으로 진행 가능 확인.
조회 대상 거래가 모두 적재되고 있는지 확인 후 필요시 담당 IT 확인 후 추가 협의 진행. 조회 이미지 저장 요건 자체는 가능한 것으로 확인. 
관련 단말거래 확인결과
1070-002 거래는 대면에서 발급한 영수증만 재발행하는 것으로 요구사항 불충족
10700-003 거래는 대면에서 발생한 수수료 내역을 조회하는 것으로 확인되어 해당 거래를 이용한 별도의 신규 요건으로 진행키로 협의함. </t>
    <phoneticPr fontId="3" type="noConversion"/>
  </si>
  <si>
    <t>[0420]</t>
    <phoneticPr fontId="3" type="noConversion"/>
  </si>
  <si>
    <t>특이사항</t>
    <phoneticPr fontId="3" type="noConversion"/>
  </si>
  <si>
    <t>[0420]AS-IS기준으로 제공키로함
ASIS 기준으로 UIUX 변경 진행</t>
    <phoneticPr fontId="3" type="noConversion"/>
  </si>
  <si>
    <t>[0420]ASIS기반영됨
개별 항목 알림요건 등에 이미 반영</t>
    <phoneticPr fontId="3" type="noConversion"/>
  </si>
  <si>
    <t>[0420][BFE-30010ㅣ전계좌조회 메인 수정]  내용과 중복되어, 삭제하는 것으로 협의함</t>
    <phoneticPr fontId="3" type="noConversion"/>
  </si>
  <si>
    <t>[0420]BFE-88030로 통합
기존 요건 삭제하고 2월 18일 협의 내용 신규 요건으로 분리 반영</t>
    <phoneticPr fontId="3" type="noConversion"/>
  </si>
  <si>
    <t>조건부승인
확정예정일자(YYYY-MM-DD)</t>
    <phoneticPr fontId="3" type="noConversion"/>
  </si>
  <si>
    <t>Biz요건ID</t>
    <phoneticPr fontId="29" type="noConversion"/>
  </si>
  <si>
    <t>Biz요건명</t>
    <phoneticPr fontId="29" type="noConversion"/>
  </si>
  <si>
    <t>요구사항구분</t>
    <phoneticPr fontId="3" type="noConversion"/>
  </si>
  <si>
    <t>생성단계</t>
    <phoneticPr fontId="3" type="noConversion"/>
  </si>
  <si>
    <t>상태구분</t>
    <phoneticPr fontId="3" type="noConversion"/>
  </si>
  <si>
    <t>출처</t>
    <phoneticPr fontId="3" type="noConversion"/>
  </si>
  <si>
    <t>기능/비기능요구사항</t>
    <phoneticPr fontId="3" type="noConversion"/>
  </si>
  <si>
    <t>사용자권한요구사항</t>
    <phoneticPr fontId="3" type="noConversion"/>
  </si>
  <si>
    <t>의뢰부서</t>
    <phoneticPr fontId="29" type="noConversion"/>
  </si>
  <si>
    <t>요구사항처리담당팀</t>
    <phoneticPr fontId="29" type="noConversion"/>
  </si>
  <si>
    <t>검토 상태</t>
    <phoneticPr fontId="29" type="noConversion"/>
  </si>
  <si>
    <t>검토의견</t>
    <phoneticPr fontId="3" type="noConversion"/>
  </si>
  <si>
    <t>변경요구사항ID</t>
    <phoneticPr fontId="3" type="noConversion"/>
  </si>
  <si>
    <t>변경일</t>
    <phoneticPr fontId="3" type="noConversion"/>
  </si>
  <si>
    <t>근기문서</t>
    <phoneticPr fontId="3" type="noConversion"/>
  </si>
  <si>
    <t>수행사
담당자</t>
    <phoneticPr fontId="3" type="noConversion"/>
  </si>
  <si>
    <t>업무상세</t>
    <phoneticPr fontId="3" type="noConversion"/>
  </si>
  <si>
    <t>Tech그룹협의필요
대상여부(Y/N)</t>
    <phoneticPr fontId="3" type="noConversion"/>
  </si>
  <si>
    <t>Tech그룹
유관부서명</t>
    <phoneticPr fontId="3" type="noConversion"/>
  </si>
  <si>
    <t>Tech그룹
담당자</t>
    <phoneticPr fontId="3" type="noConversion"/>
  </si>
  <si>
    <t>비고</t>
    <phoneticPr fontId="3" type="noConversion"/>
  </si>
  <si>
    <t>IT 담당자</t>
    <phoneticPr fontId="3" type="noConversion"/>
  </si>
  <si>
    <t>ACE담당자</t>
    <phoneticPr fontId="3" type="noConversion"/>
  </si>
  <si>
    <t>요건협의 미진여부(Y/N)</t>
    <phoneticPr fontId="3" type="noConversion"/>
  </si>
  <si>
    <t>IT요건 세부협의 대상</t>
    <phoneticPr fontId="3" type="noConversion"/>
  </si>
  <si>
    <t>Native 협의 대상</t>
    <phoneticPr fontId="3" type="noConversion"/>
  </si>
  <si>
    <t>요구사항추적표담당자</t>
    <phoneticPr fontId="3" type="noConversion"/>
  </si>
  <si>
    <t>특이사항</t>
    <phoneticPr fontId="3" type="noConversion"/>
  </si>
  <si>
    <t>조건부승인
확정예정일자(YYYY-MM-DD)</t>
    <phoneticPr fontId="3" type="noConversion"/>
  </si>
  <si>
    <t>로그인수단</t>
    <phoneticPr fontId="29" type="noConversion"/>
  </si>
  <si>
    <t>로그인방식 축소</t>
    <phoneticPr fontId="3" type="noConversion"/>
  </si>
  <si>
    <r>
      <t>- 로그인방식 개수 축소
    ㅇ 모바일인증서(기본값, 지문&amp;Face ID/패턴 지원), 공인인증서(</t>
    </r>
    <r>
      <rPr>
        <strike/>
        <sz val="9"/>
        <color theme="1"/>
        <rFont val="KB금융 본문체 Light"/>
        <family val="3"/>
        <charset val="129"/>
      </rPr>
      <t>지문/</t>
    </r>
    <r>
      <rPr>
        <sz val="9"/>
        <color theme="1"/>
        <rFont val="KB금융 본문체 Light"/>
        <family val="3"/>
        <charset val="129"/>
      </rPr>
      <t xml:space="preserve">암호입력), ID/PW
       · 금융결제원 인증서 도입에 따른 적용
</t>
    </r>
    <r>
      <rPr>
        <strike/>
        <sz val="9"/>
        <color theme="1"/>
        <rFont val="KB금융 본문체 Light"/>
        <family val="3"/>
        <charset val="129"/>
      </rPr>
      <t>[0209]
'- KB모바일인증서를 사용할수 없는 경우
    ㅇ 금융인증서, 공동인증서를 먼저 노출할 수 있는 기능 필요(김민지D)</t>
    </r>
    <phoneticPr fontId="29" type="noConversion"/>
  </si>
  <si>
    <t>UXUI</t>
    <phoneticPr fontId="3" type="noConversion"/>
  </si>
  <si>
    <t>20210111_UXUI(공통)_회의록_로그인,인증 2차 요건협의_ver1.0.docx</t>
    <phoneticPr fontId="3" type="noConversion"/>
  </si>
  <si>
    <t>이채우</t>
    <phoneticPr fontId="29" type="noConversion"/>
  </si>
  <si>
    <t>공통(로그인/인증)</t>
    <phoneticPr fontId="3" type="noConversion"/>
  </si>
  <si>
    <t>김원용 수석/이상호 팀장/이정윤 대리/전동화 대리</t>
    <phoneticPr fontId="3" type="noConversion"/>
  </si>
  <si>
    <t>ARS인증 안내 멘트 시각화</t>
    <phoneticPr fontId="3" type="noConversion"/>
  </si>
  <si>
    <r>
      <t xml:space="preserve">- ARS인증 안내 멘트 시각화
   ㅇ ARS 안내멘트 시각화 제시를 통한 사용자 편의성 제공
- ARS 인증 통화 시 안내창 팝업 표시
   ㅇ ARS인증 통화 수신 시 인증번호 안내 창(팝업)을 휴대폰 화면 상단 표시
</t>
    </r>
    <r>
      <rPr>
        <sz val="9"/>
        <color rgb="FF00B0F0"/>
        <rFont val="KB금융 본문체 Light"/>
        <family val="3"/>
        <charset val="129"/>
      </rPr>
      <t xml:space="preserve">[0205]
- 리브에 있는 interface 참고해서 진행. </t>
    </r>
    <phoneticPr fontId="29" type="noConversion"/>
  </si>
  <si>
    <t>승인</t>
    <phoneticPr fontId="3" type="noConversion"/>
  </si>
  <si>
    <t>20210205_UXUI(공통)_회의록_요구사항분석_로그인.인증.기타_ver1.0.docx</t>
    <phoneticPr fontId="3" type="noConversion"/>
  </si>
  <si>
    <t>김원용 수석</t>
    <phoneticPr fontId="3" type="noConversion"/>
  </si>
  <si>
    <t>BFE-21020</t>
    <phoneticPr fontId="3" type="noConversion"/>
  </si>
  <si>
    <t>승인</t>
    <phoneticPr fontId="3" type="noConversion"/>
  </si>
  <si>
    <t>20210111_UXUI(공통)_회의록_로그인,인증 2차 요건협의_ver1.0.docx</t>
    <phoneticPr fontId="3" type="noConversion"/>
  </si>
  <si>
    <t>이채우</t>
    <phoneticPr fontId="29" type="noConversion"/>
  </si>
  <si>
    <t>N</t>
    <phoneticPr fontId="3" type="noConversion"/>
  </si>
  <si>
    <t>추가인증 방식 공통화</t>
    <phoneticPr fontId="29" type="noConversion"/>
  </si>
  <si>
    <t>BFE-21030</t>
    <phoneticPr fontId="3" type="noConversion"/>
  </si>
  <si>
    <r>
      <t xml:space="preserve">- 추가인증 방식에 대한 각 거래별 공통화 적용(공통화면 사용토록 개선)
------------------------------------------------------
</t>
    </r>
    <r>
      <rPr>
        <sz val="9"/>
        <color rgb="FF00B0F0"/>
        <rFont val="KB금융 본문체 Light"/>
        <family val="3"/>
        <charset val="129"/>
      </rPr>
      <t>- 휴대폰 본인인증 공통화면 사용(단, 업무 프로세스상 별도 예외 필요시 제외)
- 연락처 본인인증(AOS), ARS인증, 해외출국사실확인 3종 셋트를 기본으로 각 거래에서 필요한 방식 공통 적용</t>
    </r>
    <phoneticPr fontId="29" type="noConversion"/>
  </si>
  <si>
    <t>공통(로그인/인증)</t>
    <phoneticPr fontId="3" type="noConversion"/>
  </si>
  <si>
    <r>
      <t>- 연락처본인인증 단계 간소화 (AOS)
   ㅇ 추가인증단계  연락처 본인인증 선택시 시스템으로 검증작업 후 결과만 노출 
       · CRM 정보와 휴대폰 번호가 일치하는 경우, 전화번호 검증 팝업 없이 추가인증 진행
       ·</t>
    </r>
    <r>
      <rPr>
        <strike/>
        <sz val="9"/>
        <color theme="1"/>
        <rFont val="KB금융 본문체 Light"/>
        <family val="3"/>
        <charset val="129"/>
      </rPr>
      <t xml:space="preserve"> 추가인증 팝업 화면 진입시</t>
    </r>
    <r>
      <rPr>
        <sz val="9"/>
        <color theme="1"/>
        <rFont val="KB금융 본문체 Light"/>
        <family val="3"/>
        <charset val="129"/>
      </rPr>
      <t xml:space="preserve"> CRM정보와 휴대폰 번호일치여부 체크후 불일치 하는 경우 ‘연락처본인인증’ 버튼 미노출
---------------------------------
- CRM정보와 연락처 본인인증 번호가 일치하는 경우 추가인증은 자동인증 처리 방식으로 제공</t>
    </r>
    <phoneticPr fontId="29" type="noConversion"/>
  </si>
  <si>
    <t>20210205_UXUI(공통)_회의록_요구사항분석_로그인.인증.기타_ver1.0.docx</t>
    <phoneticPr fontId="3" type="noConversion"/>
  </si>
  <si>
    <t>스타뱅킹 外 앱에서 모바일인증호출</t>
    <phoneticPr fontId="3" type="noConversion"/>
  </si>
  <si>
    <t>박준규</t>
    <phoneticPr fontId="29" type="noConversion"/>
  </si>
  <si>
    <t>인증 화면 분리</t>
    <phoneticPr fontId="29" type="noConversion"/>
  </si>
  <si>
    <t>BFE-21070</t>
    <phoneticPr fontId="3" type="noConversion"/>
  </si>
  <si>
    <t>공인인증서 로그인 시, 로그인 화면과 인증 화면 분리 필요(김민지 대리)
   ㄴ 두 화면이 중첩되므로 인해 생기는 이슈 다수 발생(ex.  공인인증서 인증서 로그인 → 대출 신청 → 로그인)</t>
    <phoneticPr fontId="29" type="noConversion"/>
  </si>
  <si>
    <t>BFE-21080</t>
    <phoneticPr fontId="3" type="noConversion"/>
  </si>
  <si>
    <t>사고신고/해제, 증명서 발급-보안매체</t>
    <phoneticPr fontId="3" type="noConversion"/>
  </si>
  <si>
    <t>-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t>
    <phoneticPr fontId="29" type="noConversion"/>
  </si>
  <si>
    <t>UXUI</t>
    <phoneticPr fontId="3" type="noConversion"/>
  </si>
  <si>
    <t>조건부승인</t>
    <phoneticPr fontId="3" type="noConversion"/>
  </si>
  <si>
    <r>
      <t>[0504]</t>
    </r>
    <r>
      <rPr>
        <sz val="10"/>
        <color theme="1"/>
        <rFont val="KB금융 본문체 Light"/>
        <family val="3"/>
        <charset val="129"/>
      </rPr>
      <t>조건부승인-&gt;승인
변경 IA 및 현업 요건으로 최종 반영</t>
    </r>
    <phoneticPr fontId="3" type="noConversion"/>
  </si>
  <si>
    <t>20210122_UIUX(관리)_회의록_1차 요구사항분석_ver1.0.docx</t>
    <phoneticPr fontId="3" type="noConversion"/>
  </si>
  <si>
    <t>보안/인증</t>
    <phoneticPr fontId="29" type="noConversion"/>
  </si>
  <si>
    <t>회의록</t>
    <phoneticPr fontId="3" type="noConversion"/>
  </si>
  <si>
    <t>앱 → 계열사 연계</t>
    <phoneticPr fontId="3" type="noConversion"/>
  </si>
  <si>
    <t>[0420]BFE-17030과 중복</t>
    <phoneticPr fontId="3" type="noConversion"/>
  </si>
  <si>
    <t>[0420]</t>
    <phoneticPr fontId="3" type="noConversion"/>
  </si>
  <si>
    <r>
      <rPr>
        <sz val="9"/>
        <color theme="1"/>
        <rFont val="KB금융 본문체 Light"/>
        <family val="3"/>
        <charset val="129"/>
      </rPr>
      <t>- KB APP 및 계열사 APP안내 페이지 개선
   ㅇ APP 설치 유무에 따른 아이콘 표시 및 각 APP 클릭시 연동 되도록 구성 (SSO가능한 앱에 限)
     · 설치 대상 앱(계열사/당행) 아이콘 안내 및 설치여부 상태 시각적 구분</t>
    </r>
    <phoneticPr fontId="29" type="noConversion"/>
  </si>
  <si>
    <t>Biz-172</t>
    <phoneticPr fontId="3" type="noConversion"/>
  </si>
  <si>
    <t>스타뱅킹 관련 안내 페이지 제공</t>
    <phoneticPr fontId="29" type="noConversion"/>
  </si>
  <si>
    <t>- 스타뱅킹 관련 안내 페이지 제공
  ㅇ KB 스타드림 서비스, 스타샷 촬영납부, 포인트리 골드전환, 스마트서류제출, 개인대출 금리인하요구권, 맞춤환전, 외환ATM 위치조회, 펀드자동환매서비스, 펀드정기지급서비스, 배달 콘텐츠, 증명서 발급, 국세/지방세 납부(As-is 이체 하위에 있던 내용)</t>
    <phoneticPr fontId="29" type="noConversion"/>
  </si>
  <si>
    <t>비대면 실명확인</t>
    <phoneticPr fontId="29" type="noConversion"/>
  </si>
  <si>
    <t>BFE-23020</t>
    <phoneticPr fontId="3" type="noConversion"/>
  </si>
  <si>
    <t>CDD/EDD</t>
    <phoneticPr fontId="29" type="noConversion"/>
  </si>
  <si>
    <r>
      <t xml:space="preserve">- CDD/EDD메뉴 접근 후 ‘고객확인 등록’ 거래 진행시 ID로그인/비로그인 방식 추가
   ㅇ '2+1 인증방식(휴대폰 본인인증, 신분증촬영, 본인명의 계좌검증)'을 통한 본인인증절차를 고려할 때 ID/PW, 비로그인시에도 가능하도록 개선
--------------------------
고객 입력 주소 검증에 대한 부분 확인 필요(자금세탁방지부)
</t>
    </r>
    <r>
      <rPr>
        <sz val="9"/>
        <color rgb="FF00B0F0"/>
        <rFont val="KB금융 본문체 Light"/>
        <family val="3"/>
        <charset val="129"/>
      </rPr>
      <t xml:space="preserve">[0205]
- 프로세스 수정, 보완 건으로 진행
- 공통업무 요건이 아니며 개인뱅킹 업무 요건으로 진행. </t>
    </r>
    <r>
      <rPr>
        <sz val="9"/>
        <color theme="1"/>
        <rFont val="KB금융 본문체 Light"/>
        <family val="3"/>
        <charset val="129"/>
      </rPr>
      <t xml:space="preserve">
</t>
    </r>
    <phoneticPr fontId="29" type="noConversion"/>
  </si>
  <si>
    <t>자금세탁방지부</t>
    <phoneticPr fontId="29" type="noConversion"/>
  </si>
  <si>
    <t>BFE-23030</t>
    <phoneticPr fontId="3" type="noConversion"/>
  </si>
  <si>
    <t>거래내역 저장</t>
    <phoneticPr fontId="3" type="noConversion"/>
  </si>
  <si>
    <t>- 계좌 거래내역 XLS/PDF 형식파일 저장 서비스 제공
   ㅇ 입출금, 예·적금, 신탁, 펀드, 대출, 외화(보통/정기)예금, 퇴직연금 등
- 거래내역 E-mail 전송 서비스 제공
[0216]
- 이메일전송서비스로 요건 보완 후 검토 진행 중
  - 발송 용량(1만 바이트)에 따라 일반 메일 방식과 첨부파일 방식으로 구분 필요
 - 대상 거래 확정 후 거래별 용량 산정, 정보보안 검토 등 진행 예정. 
[02/22] - 권장우 대리 쪽지 회신 내용.
1. 거래내역조회 상품별 테이블 현황 캡쳐자료 공유드립니다. [첨부파일 참조] (보험/공제는 확인전)
2. 마스킹여부: 현재도 마스킹처리되지 않음. 신한 쏠도 마스킹여부에 대해 고객 선택(필수X). 신한처럼 선택 가능하도록 제공 검토
3. 템플릿: 템플릿은 인터넷뱅킹 형식을 활용할 수 있는지 검토 
4. 개발방식: 전문방식으로 개발하고 1만바이트 초과 시에는 조형준대리님쪽에서 체크하여 안내메시지 노출 후 이메일 발송 정상처리
                (안내메일 예시: 거래내역 이메일 발송은 최대 XX건까지 가능합니다. 조회하신 모든 거래내역이 발송되지 않을 수 있습니다.)</t>
    <phoneticPr fontId="29" type="noConversion"/>
  </si>
  <si>
    <t>20210216_UXUI(조회)_회의록_요구사항분석_거래내역이메일발송_ver1.0.docx</t>
    <phoneticPr fontId="3" type="noConversion"/>
  </si>
  <si>
    <t>조회</t>
    <phoneticPr fontId="3" type="noConversion"/>
  </si>
  <si>
    <t>데이터분석플랫폼부</t>
    <phoneticPr fontId="3" type="noConversion"/>
  </si>
  <si>
    <t>영수증 이미지 저장</t>
    <phoneticPr fontId="29" type="noConversion"/>
  </si>
  <si>
    <t>BFE-23040</t>
    <phoneticPr fontId="3" type="noConversion"/>
  </si>
  <si>
    <t xml:space="preserve">- 앱 內 영수증 이미지 저장/조회 기능 신규제공
   ㅇ 대면 MyStar단말 영수증조회(10-70-002)거래 기능 앱 內 신설
       · 단말(10-70-002) 거래 모두 해당
       · 영업점 직원이 단말에서 종이영수증 발급 여부 선택 가능하도록 개선
   ㅇ 비대면거래 내역(이체확인증) 기능 제공
---------------------------------
- 대면거래에 해당하는 영수증만 조회
- 외국환계산서, 무통장입금확인증, 예금 이자계산서(예금 해지시 등), 수수료 영수증(OTP/통장/제증명발급), 자동화기기(CD/ATM) 인출/송금 명세표, 자동이체신청 확인서(고객용), 전자금융거래신청확인서(고객용), 입출금통지서비스신청확인서, 집합투자증권추가매입/환매신청확인서
---------------------------------
포함 대상 거래 확정 필요
- 조회 조건(최대 조회 기간 포함)
- Push 알림 기능 필요 여부
[0205]
- 대상 영수증에 대해 단말 거래에서 발급여부 설정을 위해서는 계정계 협의 등 추가 확인 필요. 
- 증빙자료로서 영수증 제공을 위해서는 워터마크 등 별도 기능 추가 필요.
- 영수증 발급 대상 거래 및 개발범위 등 추가 확인 후 재협의. 
[0219]
 - 워터마크는 법률 사항과 관계 없음. 워터마크 출력은 가능. 
- 영수증 출력항목에 대해서는 세부 확인 필요. (각 현업 개별 협의, 확인 필요)
[02/22]
- 네이티브 개발요건 없음. 
</t>
    <phoneticPr fontId="29" type="noConversion"/>
  </si>
  <si>
    <t>거부</t>
    <phoneticPr fontId="3" type="noConversion"/>
  </si>
  <si>
    <t>Y</t>
    <phoneticPr fontId="3" type="noConversion"/>
  </si>
  <si>
    <t>코어뱅킹1플랫폼부</t>
    <phoneticPr fontId="3" type="noConversion"/>
  </si>
  <si>
    <t xml:space="preserve"> 이향림 과장</t>
    <phoneticPr fontId="3" type="noConversion"/>
  </si>
  <si>
    <t>[0420]</t>
    <phoneticPr fontId="3" type="noConversion"/>
  </si>
  <si>
    <r>
      <t xml:space="preserve">- 약관/설명서/동의서 등 각종 서식 문서 Viewer 방식으로 변경
--------------------------------------------
- </t>
    </r>
    <r>
      <rPr>
        <sz val="9"/>
        <color rgb="FF00B0F0"/>
        <rFont val="KB금융 본문체 Light"/>
        <family val="3"/>
        <charset val="129"/>
      </rPr>
      <t xml:space="preserve">html 약관 사용 없이, 통합어드민 서식/약관자료실 파일 연동 처리로 모두 변경
--------------------------------------------
[0205]
- ASIS 적용사항 TOBE에 적용. 
- 적용시 각 업무개발팀에서 진행. </t>
    </r>
    <phoneticPr fontId="29" type="noConversion"/>
  </si>
  <si>
    <t>공통(기타)</t>
    <phoneticPr fontId="3" type="noConversion"/>
  </si>
  <si>
    <t>공통 태그 라이브러리</t>
    <phoneticPr fontId="29" type="noConversion"/>
  </si>
  <si>
    <t>공통 태그 라이브러리</t>
    <phoneticPr fontId="29" type="noConversion"/>
  </si>
  <si>
    <t>DIY</t>
    <phoneticPr fontId="29" type="noConversion"/>
  </si>
  <si>
    <t>권희영 차장</t>
    <phoneticPr fontId="3" type="noConversion"/>
  </si>
  <si>
    <t>삭제</t>
    <phoneticPr fontId="3" type="noConversion"/>
  </si>
  <si>
    <t>서비스 불가시 상담거래 자동 연계</t>
    <phoneticPr fontId="29" type="noConversion"/>
  </si>
  <si>
    <t xml:space="preserve">[0205]
- 서비스 불가 상황에 대한 세부적인 정의 없이 상담거래 자동연계는 고객 불만 요소가 될 수 있음. 
- 자동연계 요건은 삭제하고, 오류 코드에 대한 분석 확인 후 특정 코드에 대한 조건 처리로 요건 추가. 
- 실제 연계 처리는 공통업무가 아닌 각 업무개발팀에서 진행. </t>
    <phoneticPr fontId="3" type="noConversion"/>
  </si>
  <si>
    <t>미래컨택센터추진단</t>
    <phoneticPr fontId="3" type="noConversion"/>
  </si>
  <si>
    <t>N/A</t>
    <phoneticPr fontId="3" type="noConversion"/>
  </si>
  <si>
    <t>금액 입력 별도 키패드 제공</t>
    <phoneticPr fontId="29" type="noConversion"/>
  </si>
  <si>
    <r>
      <t xml:space="preserve">- 금액 숫자 키패드 커스텀 적용
ex. 금액 Short-cut 단위 추가('백', '천', '만') 등 / '5' &gt; '만' 버튼 입력시 '50,000원' 입력
-------------------------
커스텀 키패드 사용범위 확인 필요(숫자 입력용 공용 키패드로 개발 필요)
</t>
    </r>
    <r>
      <rPr>
        <sz val="9"/>
        <color rgb="FF00B0F0"/>
        <rFont val="KB금융 본문체 Light"/>
        <family val="3"/>
        <charset val="129"/>
      </rPr>
      <t xml:space="preserve">
</t>
    </r>
    <phoneticPr fontId="29" type="noConversion"/>
  </si>
  <si>
    <t xml:space="preserve">[0205]
- 금액입력 전용 키패드와 숫자 입력 키패드 커스텀 개발 진행. </t>
    <phoneticPr fontId="3" type="noConversion"/>
  </si>
  <si>
    <t>박준규</t>
    <phoneticPr fontId="3" type="noConversion"/>
  </si>
  <si>
    <t>챗봇 기능 고도화</t>
    <phoneticPr fontId="29" type="noConversion"/>
  </si>
  <si>
    <t xml:space="preserve">
[0205]
- 챗봇기능 고도화는 별도 프로젝트로 진행하며 통합검색에 키워드 입력시 음성인식 기능 제공에 대한 요건.
- OS레벨에서 제공하는 기능을 기반으로 제공되며, 복잡한 금융용어에 대한 인식율 저하는 있을 수 있음. 
- 통합검색 등 각 업무별 적용은 담당 업무개발팀에서 진행. </t>
    <phoneticPr fontId="3" type="noConversion"/>
  </si>
  <si>
    <t>BFE-23120</t>
    <phoneticPr fontId="3" type="noConversion"/>
  </si>
  <si>
    <t xml:space="preserve">- 구동메시지 관련 메뉴 개선
  ㅇ 메시지 등록/조회 편리하게 변경
  ㅇ 특정 페이지이동URL기능 추가
----------------------------------------------------------
[3월 3일 현업 ACE 요건]
(1) 스마트폰 OS버전별 등록 조건 개선 
(현행) 5.0.0/5.0.1 각각 등록 → 
(개선) 5.0대 버전 일괄등록, 5.1대 버전 일괄등록 등으로 버전 세분화 적용 
         OS 별 전체 일괄 등록 기능 추가
(2) 자주쓰는 메시지 선택 조건 신설 
(현행) 메시지 매번 입력하여 적용 
(개선) 직접입력/메시지 선택 구분, 메시지 선택 시 유형화된 메시지 중 선택 가능하도록 옵션 신설
          자주쓰는 메시지 미리 셋팅 제공
</t>
    <phoneticPr fontId="29" type="noConversion"/>
  </si>
  <si>
    <t xml:space="preserve">
[0205]
- 상세 요건에 대해서는 실무 사용자를 중심으로 추가 확인 필요. (by 개인뱅킹플랫폼부)</t>
    <phoneticPr fontId="3" type="noConversion"/>
  </si>
  <si>
    <t>BFE-23130</t>
    <phoneticPr fontId="3" type="noConversion"/>
  </si>
  <si>
    <t>정보보호부</t>
    <phoneticPr fontId="3" type="noConversion"/>
  </si>
  <si>
    <t xml:space="preserve"> 이민욱 차장</t>
    <phoneticPr fontId="3" type="noConversion"/>
  </si>
  <si>
    <t>중요메뉴 입력방법 탐지 강화</t>
    <phoneticPr fontId="29" type="noConversion"/>
  </si>
  <si>
    <t>회의록</t>
    <phoneticPr fontId="3" type="noConversion"/>
  </si>
  <si>
    <t>중요메뉴 입력방법 탐지 강화</t>
    <phoneticPr fontId="29" type="noConversion"/>
  </si>
  <si>
    <t xml:space="preserve">- 중요메뉴 (이체 등) 입력 방법 탐지를 통한 스타뱅킹 이용 차단
  ㅇ 이체 등 중요 메뉴에 대해 고객이 터치를 통한 입력 또는 마우스를 통한 입력여부를 판단하여 마우스를 통한 비정상 입력 거래 탐지 및 차단 
     (하나은행 적용중, 오픈소스로 공개되어 있으며 해당 소스 조사하여 제공예정)
</t>
    <phoneticPr fontId="29" type="noConversion"/>
  </si>
  <si>
    <t>정보보호부</t>
    <phoneticPr fontId="29" type="noConversion"/>
  </si>
  <si>
    <t xml:space="preserve">[0420]AS-IS구현대상으로 중복삭제
[0205]
- ASIS 구현 건으로 전환개발 대상. </t>
    <phoneticPr fontId="3" type="noConversion"/>
  </si>
  <si>
    <t>정보보안플랫폼부</t>
    <phoneticPr fontId="3" type="noConversion"/>
  </si>
  <si>
    <t>Biz-178</t>
    <phoneticPr fontId="3" type="noConversion"/>
  </si>
  <si>
    <t>콜봇서비스 제공</t>
    <phoneticPr fontId="3" type="noConversion"/>
  </si>
  <si>
    <t>BFE-23160</t>
    <phoneticPr fontId="3" type="noConversion"/>
  </si>
  <si>
    <t>스마트상담부</t>
    <phoneticPr fontId="29" type="noConversion"/>
  </si>
  <si>
    <t>관련 프로젝트에 대해 해당 부서에서 재검토 중으로 보류됨에 따라 요구사항 삭제 처리</t>
    <phoneticPr fontId="3" type="noConversion"/>
  </si>
  <si>
    <t>20210224_UXUI(공통.기타)_회의록_요구사항분석_콜봇서비스추가_ver1.0.docx</t>
    <phoneticPr fontId="3" type="noConversion"/>
  </si>
  <si>
    <t>중복, 유사 UI 공통화</t>
    <phoneticPr fontId="3" type="noConversion"/>
  </si>
  <si>
    <t>개인화 이미지</t>
    <phoneticPr fontId="3" type="noConversion"/>
  </si>
  <si>
    <t>개인화 이미지 추가</t>
    <phoneticPr fontId="3" type="noConversion"/>
  </si>
  <si>
    <t xml:space="preserve">[0420]마이페이지로 변경(BFE-13030)
개인화 이미지(피싱방지 이미지)는 보안 솔루션이 적용된 관계로 추가 불가. 프로필 이미지 관련으로 신규 요건 등록 후 별도 검토 진행. </t>
    <phoneticPr fontId="3" type="noConversion"/>
  </si>
  <si>
    <t>개인화</t>
    <phoneticPr fontId="29" type="noConversion"/>
  </si>
  <si>
    <t>첫화면 구축</t>
    <phoneticPr fontId="3" type="noConversion"/>
  </si>
  <si>
    <r>
      <t xml:space="preserve">- 앱최초/재설치시 첫 화면(최초 1회)
   ㅇ 로그인하기, 회원가입하기 안내
      · 로그인하기 : 모바일인증서 보유(TEE/USIM) 여부에 따라 분기처리
         ⁎ 모바일인증서 보유시: 기본 로그인 진행
         ⁎ 모바일인증서 미보유시: 모바일인증서 발급/재발급 프로세스 진행
      · 회원가입하기 : One-stop 신규가입 프로세스 진행
- 로그인 후 재접속시
   ㅇ 로그인 화면을 첫 화면으로 띄워줌
</t>
    </r>
    <r>
      <rPr>
        <strike/>
        <sz val="9"/>
        <color rgb="FFFF0000"/>
        <rFont val="KB금융 본문체 Light"/>
        <family val="3"/>
        <charset val="129"/>
      </rPr>
      <t xml:space="preserve">- 다국어 선택 제공(English Only)
</t>
    </r>
    <r>
      <rPr>
        <sz val="9"/>
        <color rgb="FFFF0000"/>
        <rFont val="KB금융 본문체 Light"/>
        <family val="3"/>
        <charset val="129"/>
      </rPr>
      <t xml:space="preserve">
[0205]
다른 인증수단을 보유한 경우 등에 대한 추가 정책 확인 필요. </t>
    </r>
    <phoneticPr fontId="29" type="noConversion"/>
  </si>
  <si>
    <t>- 고객편의 및 개인화 요소 최적화
   ㅇ 개인화 문구 : 현재 방식 준용
   ㅇ 알림아이콘 : ‘알림메시지’ 표시(알림함 상세 내용 진입전은 뱃지 노출, 상세 진입 후에는 뱃지 미 노출)
   ㅇ 주사용계좌 : 최대 3개(당행/오픈뱅킹 등록계좌), 거래내역조회, 이체(최근이체내역 5건 표시), 계좌 설정
       -&gt; 대표계좌 5개로 설정(상품관리 &gt; 계좌 &gt; 대표계좌설정 메뉴에서 설정된 계좌 노출)
      · 최근이체내역(성명, 금액) 영역 터치시 이체 화면으로 이동 및 이체 정보 셋팅
        -&gt; 최근이체내역은 최대 8개 노출(최근 3개월 기준)
        -&gt; 최근이체건중 즉시이체건인 경우 즉시이체로, 연락처이체인 경우 연락처이체로 거래 이동
   ㅇ 챗봇(검색) 영역
        -&gt; 챗봇은 메인 하단 풋터 영역의 챗봇/상담 메뉴 제공
   ㅇ 맞춤콘텐츠 : 쉽게 해결하는 뱅킹서비스(제신고 메뉴 모음), 알면 도움되는 스타뱅킹 서비스(생활형 콘텐츠 모음)
       -&gt; 고객맞춤 메뉴 및 쿠레이션 서비스를 통해 개인화 맞춤 서비스를 제공함.
   ㅇ 전체메뉴 및 이벤트 배너영역
※ 구성안에 따라 변경 가능</t>
    <phoneticPr fontId="3" type="noConversion"/>
  </si>
  <si>
    <r>
      <rPr>
        <sz val="10"/>
        <color rgb="FF0000FF"/>
        <rFont val="KB금융 본문체 Light"/>
        <family val="3"/>
        <charset val="129"/>
      </rPr>
      <t>[0504]</t>
    </r>
    <r>
      <rPr>
        <sz val="10"/>
        <color theme="1"/>
        <rFont val="KB금융 본문체 Light"/>
        <family val="3"/>
        <charset val="129"/>
      </rPr>
      <t>조건부승인-&gt;승인
(메인 및 큐레이션 설계서 요건 반영)</t>
    </r>
    <phoneticPr fontId="3" type="noConversion"/>
  </si>
  <si>
    <t>메인</t>
    <phoneticPr fontId="29" type="noConversion"/>
  </si>
  <si>
    <t>권희영 차장/김성학 과장</t>
    <phoneticPr fontId="3" type="noConversion"/>
  </si>
  <si>
    <t>- 홈화면 내 고객 원장정보 기반 맞춤형 메뉴/콘텐츠 자동제공
   ㅇ 제신고 : 비밀번호 변경(비밀번호 4회초과 오류), 장기미사용이체제한해제, 분실신고 해제/재발급(보안카드/OTP,통장/인감,신용(체크)카드 등), 기타 원장 정보 기반으로 처리 가능한 업무
   ㅇ 기타 : 상품 만기 알림, 연체알림, KB무보증약속드림론 안내, 미수령연금계좌 조회, FATCA 징구, 휴면예금 보유조회/환급, 잡이익(서민금융진흥원) 이전계좌 조회 등 
   ㅇ 타깃 그룹별 메뉴 : 큰글씨뱅킹, 학생증 체크카드 발급, 나라사랑카드 발급 등
※ 맞춤형 조건 향후 추가 가능
[0217] 홈화면 내 알림요건과 개인화 요건으로 통합 여부 검토 요청함. → 조세형, 정광환
[0219] 타깃 그룹별 메뉴(학생증체크카드, 나라사랑카드 발급): 필요시 현업부서에서 대상 고객 적재 후 해당 고객에게 빠른거래 메뉴로 노출</t>
    <phoneticPr fontId="3" type="noConversion"/>
  </si>
  <si>
    <t>[0420]마이페이지와 채널요건과 중복
각 항목 요건 전문위원 과제 중 채널상세화 요건과 다수 중복되어 해당 요건으로 진행하고 본 요건은 삭제</t>
    <phoneticPr fontId="3" type="noConversion"/>
  </si>
  <si>
    <t>20210223_UXUI(메인)_회의록_요구사항분석_쉽게해결하는뱅킹서비스_삭제_ver1.0.docx</t>
    <phoneticPr fontId="3" type="noConversion"/>
  </si>
  <si>
    <t>권희영 차장/김성학 과장</t>
    <phoneticPr fontId="3" type="noConversion"/>
  </si>
  <si>
    <t>전체 메뉴 기능 개선</t>
    <phoneticPr fontId="3" type="noConversion"/>
  </si>
  <si>
    <r>
      <t xml:space="preserve">- 전체메뉴 UI/기능 개선
   ㅇ 전체메뉴 내 주요 메뉴만 노출
      · ‘더보기’ 버튼으로 숨은메뉴 보기확장 기능
      · 메뉴별 '숨기기/보이기' 설정기능 추가
      · 메뉴 보이기 미 추가한 경우더라도 타 경로로 해당 메뉴 첫 화면 진입시 전체메뉴에 자동 추가
   ㅇMquics에서 필수/선택 노출에 대한 값으로 최초 전체메뉴 진입시 필수 메뉴 기본 노출
   ㅇ 마이메뉴 : 고객 설정에 따른 즐겨찾기, 최근 사용 메뉴 노출 
- 개인화 영역 노출 항목
   ㅇ 고객명, 최근접속일시, </t>
    </r>
    <r>
      <rPr>
        <strike/>
        <sz val="9"/>
        <color theme="1"/>
        <rFont val="KB금융 본문체 Light"/>
        <family val="3"/>
        <charset val="129"/>
      </rPr>
      <t>피싱방지 개인화메시지(프로필 이미지로 대체 확인)</t>
    </r>
    <r>
      <rPr>
        <sz val="9"/>
        <color theme="1"/>
        <rFont val="KB금융 본문체 Light"/>
        <family val="3"/>
        <charset val="129"/>
      </rPr>
      <t>, 홈 아이콘
- 검색
 ㅇ전체메뉴 내 검색시 ASIS 메뉴.js 파일 대상 검색에서 TOBE 통합검색&gt;메뉴검색 기능 적용 요청 사항. 
 - 로컬 검색시에 비해 속도 저하 여부를 고려해야 함. -&gt; 논의 경과 확인 후 전달(-&gt;김원용 수석) 2/22
- KB Pay 도입시 해당 사용자를 위한 별도 전체메뉴 제공 필요
  ㅇ KB Pay 도입 범위 검토 확인 필요
  ㅇ 2/17 확장형 플랫폼 과제 공유 후 요건 유효 확인 요청함. 
[02/22]
KB Pay 관련 협의 완료 후 최종 확인 적용
[02/22]
프로필 이미지 노출 대상 제외로 확인(마이페이지에서만 서버 업로드 방식으로 제공)</t>
    </r>
    <phoneticPr fontId="3" type="noConversion"/>
  </si>
  <si>
    <r>
      <rPr>
        <sz val="10"/>
        <color rgb="FF0000FF"/>
        <rFont val="KB금융 본문체 Light"/>
        <family val="3"/>
        <charset val="129"/>
      </rPr>
      <t>[0504]</t>
    </r>
    <r>
      <rPr>
        <sz val="10"/>
        <color theme="1"/>
        <rFont val="KB금융 본문체 Light"/>
        <family val="3"/>
        <charset val="129"/>
      </rPr>
      <t>조건부승인-&gt;승인
(전체메뉴는 TO-BE 메뉴 구조도 기준으로 정리)</t>
    </r>
    <phoneticPr fontId="3" type="noConversion"/>
  </si>
  <si>
    <t>김원용 수석</t>
    <phoneticPr fontId="3" type="noConversion"/>
  </si>
  <si>
    <t>전체 메뉴 그룹핑 변경</t>
    <phoneticPr fontId="3" type="noConversion"/>
  </si>
  <si>
    <t>- 사용자관점의 전체메뉴 구성
   ㅇ 인덱스 메뉴 : 조회, 이체, 공과금, 상품, 외환, 관리, 금융서비스
   ㅇ 빠른 메뉴 : 인증/보안, 고객센터, 영업점, 앱설정
* 상세구조는 IA구조도 참조
- IA 슬림화 확정 후 검토 진행
- UX전문위원 프로토타입 대상으로 진행
=&gt; 확정완료</t>
    <phoneticPr fontId="3" type="noConversion"/>
  </si>
  <si>
    <t>BFE_UI및UX가이드.pptx
20210122_UIUX(공통)_회의록_OS, 해상도, KB금융체 등 요건 협의_ver1.0.docx</t>
    <phoneticPr fontId="3" type="noConversion"/>
  </si>
  <si>
    <t>공통</t>
    <phoneticPr fontId="3" type="noConversion"/>
  </si>
  <si>
    <t>디바이스</t>
    <phoneticPr fontId="3" type="noConversion"/>
  </si>
  <si>
    <t>- 태블릿&amp;스마트폰 기기 지원
   ㅇ 해상도 최적화 지원
        -&gt; 기준 해상도는 750 사이즈로 디자인 적용. 320 사이즈까지 퍼블리싱 대응
- 신규 폼팩터(폴더블 등)기기 출시시 빠른 UI/해상도 대응
---------------------------------------
- 테블릿 별도 레이아웃 지원 안함.(동일 레이아웃 제공)
---------------------------------------
디바이스별 (스마트폰 or테블릿)로 지원되는 메뉴 상이함 / AS-IS 와 동일하게 유지예정이므로 현행화면 선 파악 후, 설계 진행
[02/22]
디자인 확인(확정 후 전달 -&gt; 김원용 수석)
네이티브 전용 화면들에 대해 태블릿 적용시 대상화면과 검토사항 정리완료</t>
    <phoneticPr fontId="3" type="noConversion"/>
  </si>
  <si>
    <t>정찬민</t>
    <phoneticPr fontId="3" type="noConversion"/>
  </si>
  <si>
    <t>공통</t>
    <phoneticPr fontId="3" type="noConversion"/>
  </si>
  <si>
    <t>대출관련 알림 표시</t>
    <phoneticPr fontId="3" type="noConversion"/>
  </si>
  <si>
    <t>20210225_UIUX(요구사항정의서)_회의록_요구사항 삭제 요건 협의_1.0.docx</t>
    <phoneticPr fontId="3" type="noConversion"/>
  </si>
  <si>
    <t>메인</t>
    <phoneticPr fontId="3" type="noConversion"/>
  </si>
  <si>
    <t>N</t>
    <phoneticPr fontId="3" type="noConversion"/>
  </si>
  <si>
    <t>전운봉 수석</t>
    <phoneticPr fontId="3" type="noConversion"/>
  </si>
  <si>
    <t>Biz-036</t>
    <phoneticPr fontId="3" type="noConversion"/>
  </si>
  <si>
    <t>BFE-23330</t>
    <phoneticPr fontId="3" type="noConversion"/>
  </si>
  <si>
    <t>팝업관리기능개선</t>
    <phoneticPr fontId="3" type="noConversion"/>
  </si>
  <si>
    <t>공통(기타)</t>
    <phoneticPr fontId="29" type="noConversion"/>
  </si>
  <si>
    <t>김원용수석/이상호 팀장/이정윤 대리/전동화 대리</t>
    <phoneticPr fontId="3" type="noConversion"/>
  </si>
  <si>
    <t>Biz-206</t>
    <phoneticPr fontId="3" type="noConversion"/>
  </si>
  <si>
    <t>프로필 이미지 등록</t>
    <phoneticPr fontId="3" type="noConversion"/>
  </si>
  <si>
    <r>
      <t>휴대폰에 저장되어 있는 사진을 등록하여 마이페이지</t>
    </r>
    <r>
      <rPr>
        <strike/>
        <sz val="9"/>
        <color rgb="FFFF0000"/>
        <rFont val="KB금융 본문체 Light"/>
        <family val="3"/>
        <charset val="129"/>
      </rPr>
      <t>와 전체메뉴 등</t>
    </r>
    <r>
      <rPr>
        <sz val="9"/>
        <color rgb="FFFF0000"/>
        <rFont val="KB금융 본문체 Light"/>
        <family val="3"/>
        <charset val="129"/>
      </rPr>
      <t xml:space="preserve">에 개인 프로필 이미지로 노출
 - 암호화 적용 대상 아님
 - 프로필 이미지 파일 업로드에 따른 용량 산정 등 검토 필요. </t>
    </r>
    <r>
      <rPr>
        <strike/>
        <sz val="9"/>
        <color rgb="FFFF0000"/>
        <rFont val="KB금융 본문체 Light"/>
        <family val="3"/>
        <charset val="129"/>
      </rPr>
      <t xml:space="preserve">
   - 로컬 개인폰에만 노출되는 것으로 정리하여 파일 업로드 요건은 삭제(검토 확정 필요)</t>
    </r>
    <r>
      <rPr>
        <sz val="9"/>
        <color rgb="FFFF0000"/>
        <rFont val="KB금융 본문체 Light"/>
        <family val="3"/>
        <charset val="129"/>
      </rPr>
      <t xml:space="preserve">
[02/22] 
최종 확인하여 조건부승인-&gt;승인여부 결정 (-&gt;김원용 수석에게  최종 전달)
[02/22]
전체메뉴에서는 제공하지 않고, 마이페이지에서만 서버 업로드 방식으로 제공 결정(권장우 대리 쪽지 회신)
 </t>
    </r>
    <phoneticPr fontId="3" type="noConversion"/>
  </si>
  <si>
    <t>[0420]마이페이지로 변경(BFE-13030)
전체메뉴 요건만 삭제 처리함</t>
    <phoneticPr fontId="3" type="noConversion"/>
  </si>
  <si>
    <t>20210208_UXUI(공통)_회의록_요구사항분석_네이티브_ver1.0.docx
20210407_UXUI(공통)_회의록_전체메뉴 설계 리뷰_네이티브_ver1.0.docx</t>
    <phoneticPr fontId="3" type="noConversion"/>
  </si>
  <si>
    <t xml:space="preserve">Y
</t>
    <phoneticPr fontId="3" type="noConversion"/>
  </si>
  <si>
    <t>BFE-23500</t>
    <phoneticPr fontId="3" type="noConversion"/>
  </si>
  <si>
    <t>정지윤</t>
    <phoneticPr fontId="3" type="noConversion"/>
  </si>
  <si>
    <t>이득희 팀장</t>
    <phoneticPr fontId="3" type="noConversion"/>
  </si>
  <si>
    <t>BFE-23510</t>
    <phoneticPr fontId="3" type="noConversion"/>
  </si>
  <si>
    <t>BFE-23520</t>
    <phoneticPr fontId="3" type="noConversion"/>
  </si>
  <si>
    <t>FDS</t>
    <phoneticPr fontId="3" type="noConversion"/>
  </si>
  <si>
    <t>모바일앱 위변조 탐지 속도 개선</t>
    <phoneticPr fontId="29" type="noConversion"/>
  </si>
  <si>
    <t>BFE-23530</t>
    <phoneticPr fontId="3" type="noConversion"/>
  </si>
  <si>
    <t>앱위변조 탐지를 위한 서버인증 방식 개선</t>
    <phoneticPr fontId="3" type="noConversion"/>
  </si>
  <si>
    <t>- 앱위변조 탐지를 위한 서버인증 방식 개선
   ㅇ AS-IS : 서버통신(2회)을 통해 앱위변조 정책검증 및 탐지이력, 예외처리
   ㅇ TO-BE : 앱위변조 탐지시에만 서버통신 방식으로 전환
       · 앱내에서 위변조 탐지결과 정상일 경우에는 서버인증 Skip
       · 위변조 탐지시에만 서버에 로그 전송하여 서버통신 최소화, 탐지이력 관리 및 예외처리 수행
--------------------------------------------
'- 정보보호부의 요건으로 네이티브개발파트 및 정보부 이민욱차장님과 논의를 통해 진행 필요</t>
    <phoneticPr fontId="29" type="noConversion"/>
  </si>
  <si>
    <t>디지털금융부</t>
    <phoneticPr fontId="29" type="noConversion"/>
  </si>
  <si>
    <t>20210208_UXUI(공통)_회의록_요구사항분석_네이티브_ver1.0.docx</t>
    <phoneticPr fontId="3" type="noConversion"/>
  </si>
  <si>
    <t>권영순</t>
    <phoneticPr fontId="3" type="noConversion"/>
  </si>
  <si>
    <t>악성앱,원격앱탐지 강화</t>
    <phoneticPr fontId="29" type="noConversion"/>
  </si>
  <si>
    <r>
      <t xml:space="preserve">- 스타뱅킹 이용 시 탐지된 악성앱(원격제어,전화가로채기 등) 정보 FDS 로그수집 연동 (FDS 탐지룰 강화)
   ※ IT서비스개발부(FDS 시스템)와 공동 개발 필요
</t>
    </r>
    <r>
      <rPr>
        <strike/>
        <sz val="10"/>
        <color theme="1"/>
        <rFont val="KB금융 본문체 Light"/>
        <family val="3"/>
        <charset val="129"/>
      </rPr>
      <t>- 보이스피싱 이용 악성앱 및 공식 원격앱 탐지내역, 단말/고객정보, 저장/관리 메뉴 신규 (어드민)</t>
    </r>
    <r>
      <rPr>
        <sz val="10"/>
        <color theme="1"/>
        <rFont val="KB금융 본문체 Light"/>
        <family val="3"/>
        <charset val="129"/>
      </rPr>
      <t xml:space="preserve">
   ※ 참고 : 2021년 1분기 악성앱 탐지 전용솔루션 도입 예정</t>
    </r>
    <phoneticPr fontId="29" type="noConversion"/>
  </si>
  <si>
    <t>Biz-037</t>
    <phoneticPr fontId="3" type="noConversion"/>
  </si>
  <si>
    <t>통계</t>
    <phoneticPr fontId="29" type="noConversion"/>
  </si>
  <si>
    <t>- New KB스타뱅킹 구축에 따른 개선사항 반영 
   - 자동로그인 사용자수, 알림동의 사용자수, 계열사 거래, 마이데이터 동의고객수, 빠른거래 이용고객수 등 신규, 추가되는 거래현황에 대한 통계 제공 
   - 페이지 변경 코드체계 반영</t>
    <phoneticPr fontId="29" type="noConversion"/>
  </si>
  <si>
    <t>Mystar단말 개선사항으로 범위외 업무, 추후 해당 업무팀에 개발의뢰 예정</t>
    <phoneticPr fontId="3" type="noConversion"/>
  </si>
  <si>
    <t>20210407_프로젝트관리_회의록_분석설계단계말요구사항추적표 Mystar단말통계개선_V1.0.docx</t>
    <phoneticPr fontId="3" type="noConversion"/>
  </si>
  <si>
    <t>담당자확인필요</t>
    <phoneticPr fontId="3" type="noConversion"/>
  </si>
  <si>
    <t>조세형 과장</t>
    <phoneticPr fontId="3" type="noConversion"/>
  </si>
  <si>
    <t>모바일인증서 발급 시 CRM 변경 시점 개선</t>
    <phoneticPr fontId="29" type="noConversion"/>
  </si>
  <si>
    <t>- Only 모바일인증서 발급시 모바일인증서 발급 대상 기기와 고객정보상 휴대폰번호가 다른 경우 본인인증 절차가 완료된 시점에 '휴대폰번호' 변경 안내후 고객 선택에 따른 CRM업데이트
  ㅇ To-be : 휴대폰 본인인증 &gt; CRM 정보 불일치 &gt; 본인인증 진행(3가지 중 택1) &gt; 휴대폰 정보변경 예정 안내(계속진행 여부 확인) &gt; CRM DB 업데이트(전화번호 변경안내 문자 발송) &gt; 모바일인증서 발급 &gt; 완료
  ㅇ CRM 변경 불필요 시 고객정보 수정/확인 화면 생략</t>
    <phoneticPr fontId="29" type="noConversion"/>
  </si>
  <si>
    <t>인증센터</t>
    <phoneticPr fontId="3" type="noConversion"/>
  </si>
  <si>
    <t>Mini Asset Board</t>
    <phoneticPr fontId="3" type="noConversion"/>
  </si>
  <si>
    <r>
      <t>- 공통
   ㅇ 상품별/은행별/</t>
    </r>
    <r>
      <rPr>
        <strike/>
        <sz val="9"/>
        <color theme="1"/>
        <rFont val="KB금융 본문체 Light"/>
        <family val="3"/>
        <charset val="129"/>
      </rPr>
      <t>My계좌그룹별</t>
    </r>
    <r>
      <rPr>
        <sz val="9"/>
        <color theme="1"/>
        <rFont val="KB금융 본문체 Light"/>
        <family val="3"/>
        <charset val="129"/>
      </rPr>
      <t xml:space="preserve"> 보드 구성
   ㅇ 모든 콘텐츠는 '자산관리 영역'으로 링크 연계 (자산관리 콘텐츠)
- 상품별
   ㅇ 계정별 잔액 &amp; 전체 총액 현황 제시 (오픈뱅킹 데이터 포함)
- 은행별
   ㅇ 은행별 자산보유 현황 제시, 잔액모으기 기능 표출
</t>
    </r>
    <r>
      <rPr>
        <strike/>
        <sz val="9"/>
        <color theme="1"/>
        <rFont val="KB금융 본문체 Light"/>
        <family val="3"/>
        <charset val="129"/>
      </rPr>
      <t>- My계좌그룹별
   ㅇ 고객이 설정한 계좌그룹별 총액 표출</t>
    </r>
    <r>
      <rPr>
        <sz val="9"/>
        <color theme="1"/>
        <rFont val="KB금융 본문체 Light"/>
        <family val="3"/>
        <charset val="129"/>
      </rPr>
      <t xml:space="preserve">
※ 구성항목 추후 변경 가능, 그래프 포함 제공
</t>
    </r>
    <r>
      <rPr>
        <b/>
        <sz val="9"/>
        <color rgb="FF00B0F0"/>
        <rFont val="KB금융 본문체 Light"/>
        <family val="3"/>
        <charset val="129"/>
      </rPr>
      <t xml:space="preserve">
→ [요건변경] 상단에 공통으로 1개의 board 제공
→ 고객별 거래내역을 콘텐츠로 제공
→ 콘텐츠는 자산관리 콘텐츠로 링크 연계</t>
    </r>
    <phoneticPr fontId="3" type="noConversion"/>
  </si>
  <si>
    <t>문지민</t>
    <phoneticPr fontId="29" type="noConversion"/>
  </si>
  <si>
    <t>Biz-159</t>
    <phoneticPr fontId="3" type="noConversion"/>
  </si>
  <si>
    <t>- 스타링크 대상 고객 로그인 시 전계좌조회 화면에서 전용페이지 바로가기 표출되도록 개선</t>
    <phoneticPr fontId="29" type="noConversion"/>
  </si>
  <si>
    <t>20210128_UXUI(조회)_회의록_조회 1차 IT요건협의_ver1.0.docx</t>
    <phoneticPr fontId="3" type="noConversion"/>
  </si>
  <si>
    <t>-담당자확인필요
단, 수신업무팀은 계좌별만 제공 가능(최영철 수석, 강경엽 차장)
     수신업무팀에서 취합은 하지 않음
오픈뱅킹은 수신업무팀 아님</t>
    <phoneticPr fontId="3" type="noConversion"/>
  </si>
  <si>
    <t>조형준 대리</t>
    <phoneticPr fontId="3" type="noConversion"/>
  </si>
  <si>
    <t>전계좌조회목록</t>
    <phoneticPr fontId="3" type="noConversion"/>
  </si>
  <si>
    <t>BFE-30012</t>
    <phoneticPr fontId="3" type="noConversion"/>
  </si>
  <si>
    <t>전계좌조회 속도 개선</t>
    <phoneticPr fontId="3" type="noConversion"/>
  </si>
  <si>
    <t>[0420][BFE-30010ㅣ전계좌조회 메인 수정]  내용과 중복되어, 삭제하는 것으로 협의함</t>
    <phoneticPr fontId="3" type="noConversion"/>
  </si>
  <si>
    <t>20210122_UXUI(조회)_회의록_조회 3차 요건협의_ver1.0.docx</t>
    <phoneticPr fontId="3" type="noConversion"/>
  </si>
  <si>
    <t>서비스 추가</t>
    <phoneticPr fontId="29" type="noConversion"/>
  </si>
  <si>
    <t>BFE-30013</t>
    <phoneticPr fontId="3" type="noConversion"/>
  </si>
  <si>
    <t>스타링크 서비스 추가</t>
    <phoneticPr fontId="29" type="noConversion"/>
  </si>
  <si>
    <t>- 스타뱅킹內 스타링크 전용페이지 &gt; 자산관리 서비스 &gt; [포트폴리오 확인하기] 메뉴 추가하고 전담직원의 포트폴리오를 확인할 수 있도록 추가  
  ㅇ 해당 거래 인터넷뱅킹에 존재함
- 화상상담 예약 신청메뉴 추가 등 스타링크 고객군별 차별화된 메뉴 표출(as-is 스뱅 전환개발)
(신규 요건 재 협의)
- 어드민 개선 요건
 ㅇ 전담직원 등록시 이름, 직원번호 입력하면 사진+자격사항 외부기관 연동되어 결과값 등록 되도록 개선
 ㅇ 2단계 등록완료시 결재단계 개선, 삭제 or 홀딩 제한 완화
 ㅇ 전담직원 일괄등록 기능 추가, 최대 100명
 ㅇ 이벤트 등록 신규, CRM캠페인 등록화면과 기능 동일하게 개발
 ㅇ 오늘의 할일, CRM연동 및 고객언어 순화 기능 개발
- 프론트 개선 요건
 ㅇ 스타링크 메인화면 전면 개편(전담직원 포트폴리오 영역, 전담직원 메세지소통(콜단말연동)영역, 개인화영역, 오늘의할일, 자산관리팁)</t>
    <phoneticPr fontId="3" type="noConversion"/>
  </si>
  <si>
    <r>
      <rPr>
        <sz val="10"/>
        <color rgb="FF0000FF"/>
        <rFont val="KB금융 본문체 Light"/>
        <family val="3"/>
        <charset val="129"/>
      </rPr>
      <t>[0504]</t>
    </r>
    <r>
      <rPr>
        <sz val="10"/>
        <color theme="1"/>
        <rFont val="KB금융 본문체 Light"/>
        <family val="3"/>
        <charset val="129"/>
      </rPr>
      <t>조건부승인-&gt;승인
(통합어드민요건추가협의완료)</t>
    </r>
    <phoneticPr fontId="3" type="noConversion"/>
  </si>
  <si>
    <t>이근정</t>
    <phoneticPr fontId="29" type="noConversion"/>
  </si>
  <si>
    <t>전계좌조회 개인화 마케팅 추가</t>
    <phoneticPr fontId="3" type="noConversion"/>
  </si>
  <si>
    <t>개인화된 마케팅 제공에 대한 범위(계좌와 관련된 범위로 구상중 이며, 그 외의 마케팅 요소는 고객에게 어필하기 어려울것으로 사려됨) 정책 필요</t>
    <phoneticPr fontId="3" type="noConversion"/>
  </si>
  <si>
    <t>Biz-057</t>
    <phoneticPr fontId="3" type="noConversion"/>
  </si>
  <si>
    <t>- 전계좌조회 목록에서 계좌별 ‘더보기’ 변경
- 계좌관리 기능
  ㅇ 공통 : 계좌번호 복사, 계좌숨기기, 자동이체 등록, 계좌별명관리
     · 자동이체 등록은 등록가능한 계좌만 노출
     · 계좌별명관리 기능은 요구불, 적립식, 거치식/시장성예금, 대출, 펀드, 신탁, 외환만 제공(타행은 등록 가능 계좌만)
- 추가 연계 기능 제공
  ㅇ 요구불 : QR코드 만들기, 스마트ATM출금, 계좌해지(보유계좌 1개인 경우 미노출)
  ㅇ 예/적금 : 계좌해지
  ㅇ 신탁 : 해지(특정금전신탁, 일임형 ISA), 운용현황(일임형 ISA), 운용지시(신탁형 ISA)
  ㅇ 펀드 : 환매신청, 펀드관리, My 펀드진단
  ㅇ 대출 : 금리산정 내역조회
  ㅇ 퇴직연금 : 기간별 수익률 조회
  ㅇ 다른은행 : 잔액모으기, 계좌등록 해제
  ※ 계좌관리 기능 추후 변경 가능
- 거래기간 설정 (펼치면 검색 기능 제공)</t>
    <phoneticPr fontId="3" type="noConversion"/>
  </si>
  <si>
    <t>거래내역 조회 UI 개선</t>
    <phoneticPr fontId="3" type="noConversion"/>
  </si>
  <si>
    <t>BFE-30043</t>
    <phoneticPr fontId="3" type="noConversion"/>
  </si>
  <si>
    <t>1. 타행 거래내역 조회 설계시 고려사항
- 주요 고려사항은 다음과 같음
① 타행 최근 6개월간 조회 가능하며 검색 불가 
② 메모기능 제공 X 
③ 예·적금 UI 다르게 구성
-&gt; 당타행 구현 기능 구분 정리 필요(현업 &amp; 기획)
2. 전용화면이 있는 상품들은 ‘연계버튼’ 삽입시의 UI 고려 필요
ㄴ전용화면이 따로 존재하는 이유는 1)비대면 전용상품인경우 이거나, 2) 상품의 특별한 Task가 있는 경우
-&gt;요건이 아닌 고려사항으로 삭제
고객별 전체 거래내역 -&gt; 정보개발부에서 개발 중으로, 거래내역조회와는 별도로 진행되는 건임
- 정보 개발부에서 API형태로 고객에게 보여줄 수 있는 상태로 개발 진행 중 
ㄴ 개발 진행상황 확인 후, 적용여부 확정예정
- 상기 개발건을 스뱅에 도입할 경우, 고객기준으로 소팅하는 방향 고려 
ㄴ 계좌별로 내역을 보는 방식이 아니라, 시간별 전체 거래내역을 확인할 수 있어, 나의 계좌관리내역을 파악하는데 보다 용이 (사용성측면에서 좋을 것 같다는 현업 의견)
ㄴ해당화면(전체계좌조회)화면에서 해당기능 제공 어려울 시, MY페이지 혹은 알림 기능을 통해 헤당 정보를 제공하는 방향도 고려중에 있음
* 신한 SOL에서 현행중인 기능 (신한은 별도의 화면에서 해당 정보 제공 中)
-  당행/타행/통합/구분 등에 대한 관리는 확정된 부분이 없기에, 해당 부분 상세 논의 필요
→ 정보개발부 진행 건 아닌 것으로 확인. 전계좌조회 화면 내 고객기준 거래내역 조회 제공(Timeline별 거래내역 조회)
고객별 거래내역 조회 구현 가능여부
[0223] 테크그룹 협의 내용
ㄱ객별 거래내역 조회 조건: 1년 이내 거래내역으로 한정, 검색기능 제공 불가
=&gt; 오픈뱅킹쪽과 탭은 분리하지만 한 화면 제공 예정으로 오픈뱅킹쪽 확인하여 기간 조정 필요
-&gt; AS-IS 스타뱅킹 거래내역 조회 UI와 동일하게 구성</t>
    <phoneticPr fontId="3" type="noConversion"/>
  </si>
  <si>
    <r>
      <rPr>
        <sz val="10"/>
        <color rgb="FF0000FF"/>
        <rFont val="KB금융 본문체 Light"/>
        <family val="3"/>
        <charset val="129"/>
      </rPr>
      <t>[0504]</t>
    </r>
    <r>
      <rPr>
        <sz val="10"/>
        <color theme="1"/>
        <rFont val="KB금융 본문체 Light"/>
        <family val="3"/>
        <charset val="129"/>
      </rPr>
      <t>조건부승인-&gt;승인</t>
    </r>
    <phoneticPr fontId="3" type="noConversion"/>
  </si>
  <si>
    <t>결제 내역과 거래내역 구분
- 네이버등와 같은 사이트와 같이 결제내역과 거래내역을 구분하여 구성하는 방향에 대한 논의
ㄴ 네이버 內 결제내역은 ‘검색’기능을 통한 상세조회가 불가하지만, 거래내역은 ‘검색’기능을 통한 상세조회 가능함
ㄴ 내역을 이와 같이 두 파트로 구분하게 된다면 찾고자하는 내역을 찾는데 보다 용이할 것으로 생각 (현업의견) 
ㄴㄴ현재 거래내역조회 화면 내, 검색 기능 존재 하지만, 상기 같은 결과 도출을 위해선 보다 고도화된 형태의 검색기능 필요 (현재는 키워드 검색 X → 키워드 검색 지원하는 형태)</t>
    <phoneticPr fontId="3" type="noConversion"/>
  </si>
  <si>
    <t>[0420][BFE-30040ㅣ거래내역 조회 개선] 내용과 중복되어, 삭제하는 것으로 협의함</t>
    <phoneticPr fontId="3" type="noConversion"/>
  </si>
  <si>
    <t>BFE-30060</t>
    <phoneticPr fontId="3" type="noConversion"/>
  </si>
  <si>
    <t xml:space="preserve">전 계좌조회 '금융그룹'메뉴 변동 </t>
    <phoneticPr fontId="3" type="noConversion"/>
  </si>
  <si>
    <t>- 기존 전계좌조회 內 '금융그룹' 탭 삭제 → 별도 그룹 통합관리 페이지로 신설
   ㅇ 접근경로 : 홈화면 및 전체메뉴 內 경로 제공
   ㅇ 제공 콘텐츠 확대 : 상품 혜택, 통합포인트 관리, 계열사 주요 서비스 연결 등 
   ㅇ 기존 계열사 관련 콘텐츠 연결 : 스타드림, KB마에스트로 서비스 등
-&gt; 전체계좌조회 서비스 구성은 AS-IS 서비스 구성과 동일하게 구성.
- 카드(오픈API 방식)
   ㅇ 상단의 Swipe 방식으로 카드정보 노출(주요계좌 영역) 
      · 이번달 결제 예정금액, 이용내역, 보유카드 목록, 포인트 조회 등 서비스 제공 (카드정보 없을 경우 추천카드 노출)
      · 결제버튼 제공 : 카드사 앱 ‘결제예정금액’ 페이지 이동
- 증권(오픈API 방식)
   ㅇ 상단의 Swipe 방식으로 증권 정보 노출(주요계좌 영역) 
      · 시황정보(코스닥/코스피 지수 등), 총자산(보유주식), 계좌별 정보, 주식 잔고 조회, 주식체결내역조회 (보유계좌 없을 경우, 코스닥/코스피 지수 기본제공 및 증권연계계좌 상품 안내 노출)
      · 주식매매 버튼제공 : 증권사 앱 해당 페이지 이동
※ 카드, 증권 앱으로 이동 시 한 앱에서 움직이는 듯한 느낌 최대한 구현</t>
    <phoneticPr fontId="29" type="noConversion"/>
  </si>
  <si>
    <r>
      <rPr>
        <sz val="10"/>
        <color rgb="FF0000FF"/>
        <rFont val="KB금융 본문체 Light"/>
        <family val="3"/>
        <charset val="129"/>
      </rPr>
      <t>[0504</t>
    </r>
    <r>
      <rPr>
        <sz val="10"/>
        <color theme="1"/>
        <rFont val="KB금융 본문체 Light"/>
        <family val="3"/>
        <charset val="129"/>
      </rPr>
      <t xml:space="preserve">]조건부승인-&gt;승인
기존 금융그룹 탭을 비욘드KB하위에 KB금융그룹 메뉴 추가
- 단, 계열사 컨텐츠 연결 관련해서는 계열사 협의 후 결정 </t>
    </r>
    <phoneticPr fontId="3" type="noConversion"/>
  </si>
  <si>
    <t>Biz-060</t>
    <phoneticPr fontId="3" type="noConversion"/>
  </si>
  <si>
    <t>이체방식 통합 및 프로세스 개선</t>
    <phoneticPr fontId="29" type="noConversion"/>
  </si>
  <si>
    <t>이체방식 통합</t>
    <phoneticPr fontId="3" type="noConversion"/>
  </si>
  <si>
    <t>20210204_UIUX(이체)_회의록_ IT_요구사항분석_Ver1.0.docx</t>
    <phoneticPr fontId="3" type="noConversion"/>
  </si>
  <si>
    <t>20210204_UIUX(이체)_회의록_ IT_요구사항분석_Ver1.0.docx</t>
    <phoneticPr fontId="3" type="noConversion"/>
  </si>
  <si>
    <r>
      <t xml:space="preserve">- 단축이체 기능 삭제(As-is)
-----------------------------------------------------------------
</t>
    </r>
    <r>
      <rPr>
        <sz val="9"/>
        <color rgb="FF0070C0"/>
        <rFont val="KB금융 본문체 Light"/>
        <family val="3"/>
        <charset val="129"/>
      </rPr>
      <t>(요건변경)
- 사용자만 단축이체 버튼 노출, 미사용자 비노출
- 등록된 단축이체 출금계좌가 다르거나 없을 시 노티 후 Default 계좌번호로 변경
- 완료페이지 더보기 내 간편등록 버튼 추가
- 단축이체 관리화면 이관(메뉴위치 관리)</t>
    </r>
    <phoneticPr fontId="3" type="noConversion"/>
  </si>
  <si>
    <t>이체</t>
    <phoneticPr fontId="3" type="noConversion"/>
  </si>
  <si>
    <t>이체 프로세스 누적형 간소화</t>
    <phoneticPr fontId="3" type="noConversion"/>
  </si>
  <si>
    <t>- 공통
  ㅇ 한 화면 內 누적형 단계별 입력 UI로 변경 - (참고) 우리WON뱅킹 이체화면 
  ㅇ 예비거래(입력정보확인) 단계 팝업 식으로 노출 최소화</t>
    <phoneticPr fontId="3" type="noConversion"/>
  </si>
  <si>
    <t>이근정</t>
    <phoneticPr fontId="3" type="noConversion"/>
  </si>
  <si>
    <t>출금가능금액 즉시노출 개선</t>
    <phoneticPr fontId="3" type="noConversion"/>
  </si>
  <si>
    <t>Biz-060</t>
    <phoneticPr fontId="3" type="noConversion"/>
  </si>
  <si>
    <t>내계좌로 이체 및 계좌번호 선택 개선</t>
    <phoneticPr fontId="3" type="noConversion"/>
  </si>
  <si>
    <t>최대한도 및 잔여한도 노출 개선</t>
    <phoneticPr fontId="3" type="noConversion"/>
  </si>
  <si>
    <t>BFE-31060</t>
    <phoneticPr fontId="3" type="noConversion"/>
  </si>
  <si>
    <t>- 자주쓰는 금액 : 자주 쓰는 금액을 '해시태그(#)'로 Short-Cut 수기등록 제공
  ㅇ 축의금 10만원으로 등록해 놓고, '#축의금' 누르면 10만원 바로 입력 &amp; 내통장 표시내용에 '축의금' 입력
  ㅇ 등록방법 : 이체완료 후 해당 금액 그대로 입력
  ㅇ 관리화면 별도 신설 (자주쓰는 금액/내통장 표시내용 자동등록 및 설정 관리)
  ㅇ 자산관리 화면에서 태그별 모아서 보여주기 기능 지원
-----------------------------------------------------------------
(요건추가)
해시태그 관리화면 신설(메뉴위치 관리)</t>
    <phoneticPr fontId="3" type="noConversion"/>
  </si>
  <si>
    <t>20210218_UIUX(이체)_회의록_5차 요구사항분석_Ver1.0.docx</t>
    <phoneticPr fontId="3" type="noConversion"/>
  </si>
  <si>
    <t>받는분/내통장 표시 적요 불러오기 기능 추가</t>
    <phoneticPr fontId="3" type="noConversion"/>
  </si>
  <si>
    <r>
      <t xml:space="preserve">- 받는 분 통장 표시
  ㅇ 적요 선택 추가 (저장된 적요 불러오기)
</t>
    </r>
    <r>
      <rPr>
        <sz val="9"/>
        <color theme="1"/>
        <rFont val="KB금융 본문체 Light"/>
        <family val="3"/>
        <charset val="129"/>
      </rPr>
      <t xml:space="preserve">
'- 내 통장 표시
  ㅇ 예금주명 Default로 입력 (받는 분 계좌번호 정합성 사전 체크 후 적용)
  ㅇ 적요 선택 추가 (저장된 적요 불러오기) (사전 세팅된 값 (예: 식비, 통신, 생활용품 등)) 
</t>
    </r>
    <r>
      <rPr>
        <sz val="9"/>
        <color theme="1"/>
        <rFont val="KB금융 본문체 Light"/>
        <family val="3"/>
        <charset val="129"/>
      </rPr>
      <t xml:space="preserve">
-----------------------------------------------------------------
</t>
    </r>
    <r>
      <rPr>
        <sz val="9"/>
        <color rgb="FF0070C0"/>
        <rFont val="KB금융 본문체 Light"/>
        <family val="3"/>
        <charset val="129"/>
      </rPr>
      <t>(요건추가)
받는분/내통장 별도 적요 관리화면 신설(메뉴위치 관리)</t>
    </r>
    <phoneticPr fontId="3" type="noConversion"/>
  </si>
  <si>
    <t>이근정</t>
    <phoneticPr fontId="3" type="noConversion"/>
  </si>
  <si>
    <r>
      <t xml:space="preserve">- 이체 완료 화면에 메모기능 추가
-----------------------------------------------------------------
</t>
    </r>
    <r>
      <rPr>
        <sz val="9"/>
        <color rgb="FF0070C0"/>
        <rFont val="KB금융 본문체 Light"/>
        <family val="3"/>
        <charset val="129"/>
      </rPr>
      <t>(요건변경)
정형화된 메모 및 기타 자유입력 메모 코드 분류</t>
    </r>
    <phoneticPr fontId="3" type="noConversion"/>
  </si>
  <si>
    <t>조형준 대리/윤순영 차장</t>
    <phoneticPr fontId="3" type="noConversion"/>
  </si>
  <si>
    <t>Biz-063</t>
    <phoneticPr fontId="3" type="noConversion"/>
  </si>
  <si>
    <t>BFE-31110</t>
    <phoneticPr fontId="3" type="noConversion"/>
  </si>
  <si>
    <r>
      <t xml:space="preserve">- 빠른이체(기존서비스) : 빠른이체를 이체 메뉴 內 기능으로 구현
  ㅇ 받는 분 계좌번호 리스트에 아이콘 표시 
  ㅇ 최근이체 옆 '등록' 버튼 선택 시 등록 화면으로 변경
    · 화면이탈 없이 한 화면에서 기능 구현, 주의팝업 후 등록과정 진행
-----------------------------------------------------------------
</t>
    </r>
    <r>
      <rPr>
        <sz val="9"/>
        <color rgb="FF0070C0"/>
        <rFont val="KB금융 본문체 Light"/>
        <family val="3"/>
        <charset val="129"/>
      </rPr>
      <t>(요건추가)
- 빠른이체 관리화면 이관(메뉴위치 관리)
- 이체시 최근거래내역 내 빠른이체는 아이콘으로 표기
- 완료페이지 더보기 내 간편등록 버튼 추가</t>
    </r>
    <phoneticPr fontId="3" type="noConversion"/>
  </si>
  <si>
    <t>이상원</t>
    <phoneticPr fontId="3" type="noConversion"/>
  </si>
  <si>
    <t>이체결과조회</t>
    <phoneticPr fontId="29" type="noConversion"/>
  </si>
  <si>
    <t>자동이체 메뉴 통합</t>
    <phoneticPr fontId="29" type="noConversion"/>
  </si>
  <si>
    <r>
      <t xml:space="preserve">- 자동이체 등록/조회/변경 GateWay제공
  ㅇ As-is
    · 계좌간자동이체, 타행자동이체 : 이체 &gt; 조회 &gt;자동이체 조회
    ·  퇴직연금 : 퇴직연금 &gt; 입금/자동이체 &gt; 퇴직연금 자동이체 관리 &gt; 조회
</t>
    </r>
    <r>
      <rPr>
        <sz val="9"/>
        <color theme="1"/>
        <rFont val="KB금융 본문체 Light"/>
        <family val="3"/>
        <charset val="129"/>
      </rPr>
      <t xml:space="preserve">
  ㅇ To-be
    · [자동이체] 상위메뉴로 신설 후 &gt; 자동이체 통합 [조회], [변경], [등록]
    · 자동이체 등록/ 조회 화면 통합</t>
    </r>
    <phoneticPr fontId="3" type="noConversion"/>
  </si>
  <si>
    <t>촬영이체</t>
    <phoneticPr fontId="3" type="noConversion"/>
  </si>
  <si>
    <t>20210127_UIUX(이체)_회의록_4차 요구사항분석_Ver1.0.docx</t>
    <phoneticPr fontId="3" type="noConversion"/>
  </si>
  <si>
    <t>이체</t>
    <phoneticPr fontId="29" type="noConversion"/>
  </si>
  <si>
    <t>이체</t>
    <phoneticPr fontId="29" type="noConversion"/>
  </si>
  <si>
    <t>Biz-175</t>
    <phoneticPr fontId="3" type="noConversion"/>
  </si>
  <si>
    <t>등록/변경, 자동이체/계좌간자동이체</t>
    <phoneticPr fontId="3" type="noConversion"/>
  </si>
  <si>
    <t>BFE-40010</t>
    <phoneticPr fontId="3" type="noConversion"/>
  </si>
  <si>
    <t>디지털공통플랫폼부</t>
    <phoneticPr fontId="3" type="noConversion"/>
  </si>
  <si>
    <t>스타뱅킹 해지</t>
    <phoneticPr fontId="29" type="noConversion"/>
  </si>
  <si>
    <t>스타뱅킹 해지 안내</t>
    <phoneticPr fontId="3" type="noConversion"/>
  </si>
  <si>
    <t>- 해지프로세스 변경 : 재확인용 팝업 추가
  ㅇ 스타뱅킹 해지 → (*추가)해지  안내 팝업 → 해지완료
---------------------------------
‘스타뱅킹 해지’에 대한 상세 설명 제공 필요 / 설계 진행 단계에서 고도화 (필요한 컨텐츠 요청시 현업에서 수급 예정)</t>
    <phoneticPr fontId="29" type="noConversion"/>
  </si>
  <si>
    <t>20210122_UIUX(관리)_회의록_1차 요구사항분석_ver1.0.docx</t>
    <phoneticPr fontId="3" type="noConversion"/>
  </si>
  <si>
    <t>이인숙</t>
    <phoneticPr fontId="3" type="noConversion"/>
  </si>
  <si>
    <t>관리</t>
    <phoneticPr fontId="29" type="noConversion"/>
  </si>
  <si>
    <t>권희영 차장</t>
    <phoneticPr fontId="3" type="noConversion"/>
  </si>
  <si>
    <t>스타샷 기능 분리</t>
    <phoneticPr fontId="29" type="noConversion"/>
  </si>
  <si>
    <t>증명서 발급</t>
    <phoneticPr fontId="3" type="noConversion"/>
  </si>
  <si>
    <r>
      <t xml:space="preserve"> - 서류제출 : 별도 메뉴 기능으로 분리
- 증명서발급 : 별도 메뉴 기능으로 분리
  ㅇ 예금잔액증명서, 부채증명서 등 증명서 발급 신청(단, 예금잔액증명서 영업점 발급 신청의 경우 기능으로 구분) (① 예금잔액증명서, ② 연말정산증명서, ③ 금융소득종합과세조회, ④ 원천징수영수증, ⑤ 계좌개설확인서, ⑥ 부채증명서, ⑦ 금융거래확인서 발급)
  ㅇ 신규 : </t>
    </r>
    <r>
      <rPr>
        <strike/>
        <sz val="9"/>
        <color theme="1"/>
        <rFont val="KB금융 본문체 Light"/>
        <family val="3"/>
        <charset val="129"/>
      </rPr>
      <t>외환 타발송금증명서</t>
    </r>
    <r>
      <rPr>
        <sz val="9"/>
        <color theme="1"/>
        <rFont val="KB금융 본문체 Light"/>
        <family val="3"/>
        <charset val="129"/>
      </rPr>
      <t>, 퇴직연금 개인형 IRP 개설확인서 추가
     ·</t>
    </r>
    <r>
      <rPr>
        <strike/>
        <sz val="9"/>
        <color theme="1"/>
        <rFont val="KB금융 본문체 Light"/>
        <family val="3"/>
        <charset val="129"/>
      </rPr>
      <t xml:space="preserve"> 외환 타발송금증명서 : 외환매입증명서 제공 수단은  PC출력(이메일) 또는 우편출력, 우편배송수수료 및 발행수수료 다른 증명서와 동일, 증명서 서식은 외환매입/예치증명서 양식(인쇄서식) 그대로 제공</t>
    </r>
    <r>
      <rPr>
        <sz val="9"/>
        <color theme="1"/>
        <rFont val="KB금융 본문체 Light"/>
        <family val="3"/>
        <charset val="129"/>
      </rPr>
      <t xml:space="preserve">
     · 퇴직연금 개인형 IRP 개설확인서 : 고객명, 계좌번호, 상품명, 계좌상태, 계좌개설일, 계좌구분(퇴직용, 적립겸용), 적립용 가상계좌번호 정보 표시, 이미지 저장 기능 제공
- 인터넷뱅킹 이용제한 해제(비로그인 거래)
- 중요증서 재발급 메뉴 통합
  ㅇ As-is : 예금 &gt; 관리 &gt; 통장/인감분실 재발행 신청, 발급내역 조회
  ㅇ To-be : 재발급(통장/인감, OTP, 보안카드), 발급내역조회
[01.22] 통장/인감분실 재발행 신청은 메뉴통합하지 않기로함
[02.10]
 -퇴직연금 개인형IRP계약확인서 인터넷뱅킹 해당 파업 주요정만 선정하여 이미지 저장하기로함
 - 신청증명서조회(발급내역조회) : 영업점발급, 등기우편 발급 구분하여 조회, 내역조회, 배송현황, 신청취소 기능통합
 - 통장/인감 재발급 : 영업점발급. 등기우편/STM발급 구분하여 조회, 내역조회, 배송현황, 신청취소 기능통합</t>
    </r>
    <phoneticPr fontId="29" type="noConversion"/>
  </si>
  <si>
    <t>IA 최종 확정안에 따른 요건 변경 가능
외환 타발송금영수증 요건삭제</t>
    <phoneticPr fontId="3" type="noConversion"/>
  </si>
  <si>
    <t>20210122_UIUX(관리)_회의록_1차 요구사항분석_ver1.0.docx
20210210_UIUX(관리)_회의록_2차 요구사항분석_ver1.0.docx</t>
    <phoneticPr fontId="3" type="noConversion"/>
  </si>
  <si>
    <t>코어뱅킹2플랫폼부</t>
    <phoneticPr fontId="3" type="noConversion"/>
  </si>
  <si>
    <r>
      <rPr>
        <sz val="9"/>
        <rFont val="KB금융 본문체 Light"/>
        <family val="3"/>
        <charset val="129"/>
      </rPr>
      <t>- 신기송 과장(서류제출 업무만 해당됨)</t>
    </r>
    <r>
      <rPr>
        <sz val="9"/>
        <color rgb="FFFF0000"/>
        <rFont val="KB금융 본문체 Light"/>
        <family val="3"/>
        <charset val="129"/>
      </rPr>
      <t xml:space="preserve">
- 나머지업무 담당자확인필요</t>
    </r>
    <phoneticPr fontId="3" type="noConversion"/>
  </si>
  <si>
    <t>담당자 추가확인 필요</t>
    <phoneticPr fontId="3" type="noConversion"/>
  </si>
  <si>
    <t>조형준 대리</t>
    <phoneticPr fontId="3" type="noConversion"/>
  </si>
  <si>
    <t>Biz-175</t>
    <phoneticPr fontId="3" type="noConversion"/>
  </si>
  <si>
    <t>BFE-40050</t>
    <phoneticPr fontId="3" type="noConversion"/>
  </si>
  <si>
    <t>사고신고/해제</t>
    <phoneticPr fontId="3" type="noConversion"/>
  </si>
  <si>
    <t xml:space="preserve">-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t>
    <phoneticPr fontId="29" type="noConversion"/>
  </si>
  <si>
    <r>
      <t xml:space="preserve">- “전체메뉴&gt;보안/설정” 당행사칭 SMS 신고” 메뉴 신설
   ㅇ 당행사칭 SMS(스미싱,피싱) 문자 주의 안내 가이드
   ㅇ KISA 인터넷 보호나라로 링크 연결하여 신고 안내
       (https://www.boho.or.kr/consult/phishing.do)
</t>
    </r>
    <r>
      <rPr>
        <sz val="9"/>
        <color rgb="FF00B0F0"/>
        <rFont val="KB금융 본문체 Light"/>
        <family val="3"/>
        <charset val="129"/>
      </rPr>
      <t xml:space="preserve">[0205]
- 단순 안내 컨텐츠 제공 건으로 진행. </t>
    </r>
    <phoneticPr fontId="3" type="noConversion"/>
  </si>
  <si>
    <t>정보보호부</t>
    <phoneticPr fontId="3" type="noConversion"/>
  </si>
  <si>
    <t>인증/보안</t>
    <phoneticPr fontId="3" type="noConversion"/>
  </si>
  <si>
    <t>정보보안플랫폼부
데이터분석플랫폼부</t>
    <phoneticPr fontId="3" type="noConversion"/>
  </si>
  <si>
    <t>이민욱 차장
김홍윤 수석</t>
    <phoneticPr fontId="3" type="noConversion"/>
  </si>
  <si>
    <r>
      <t xml:space="preserve">1. “전체메뉴&gt;보안/설정” 보안새소식(게시판)” 메뉴 추가
2. “전체메뉴&gt;보안/설정” 전자금융 보안수칙 메뉴 추가
※ 기존 인터넷뱅킹 메뉴 모바일앱에 신설
</t>
    </r>
    <r>
      <rPr>
        <sz val="9"/>
        <color rgb="FF00B0F0"/>
        <rFont val="KB금융 본문체 Light"/>
        <family val="3"/>
        <charset val="129"/>
      </rPr>
      <t xml:space="preserve">
[0205]
- 게시판 컨텐츠 추가 건으로 진행. </t>
    </r>
    <phoneticPr fontId="3" type="noConversion"/>
  </si>
  <si>
    <t>정보보안플랫폼부</t>
    <phoneticPr fontId="3" type="noConversion"/>
  </si>
  <si>
    <t>이민욱 차장</t>
    <phoneticPr fontId="3" type="noConversion"/>
  </si>
  <si>
    <t>고객정보 수정</t>
    <phoneticPr fontId="3" type="noConversion"/>
  </si>
  <si>
    <t>- 타인에 의한 고객정보(주소/연락처 등) 변경 등 사기시도 방지를 위한 기능 개선
  ㅇ 기존 휴대폰 본인인증 방식 외에 강화된 방식 적용 등</t>
    <phoneticPr fontId="3" type="noConversion"/>
  </si>
  <si>
    <t>정보보호부에서 상세 요건이 없음</t>
    <phoneticPr fontId="3" type="noConversion"/>
  </si>
  <si>
    <t>20210209_UXUI(정보보호부)_회의록_추가요건_요구사항분석_ver1.0.docx</t>
    <phoneticPr fontId="3" type="noConversion"/>
  </si>
  <si>
    <t>고객정보보호플랫폼부</t>
    <phoneticPr fontId="3" type="noConversion"/>
  </si>
  <si>
    <t xml:space="preserve">김승주 과장 </t>
    <phoneticPr fontId="3" type="noConversion"/>
  </si>
  <si>
    <t>조영빈 대리</t>
    <phoneticPr fontId="3" type="noConversion"/>
  </si>
  <si>
    <t>BFE-42000</t>
    <phoneticPr fontId="3" type="noConversion"/>
  </si>
  <si>
    <t>공과금납부</t>
    <phoneticPr fontId="3" type="noConversion"/>
  </si>
  <si>
    <t>- 공과금 납부 : 공과금 동일 메뉴 內 기능 제공
  ㅇ 지로/생활요금(표준OCR, OCR, MICR), 국세, 지방세</t>
    <phoneticPr fontId="3" type="noConversion"/>
  </si>
  <si>
    <t xml:space="preserve">-IT 1차 회의시, 해당 요건에 대한 승인여부 확정X / IT 2차 회의시 승인여부 확정예정 </t>
    <phoneticPr fontId="3" type="noConversion"/>
  </si>
  <si>
    <t>20210120_UIUX(공과금)_회의록_1차 IT회의_ver1.0.docx</t>
    <phoneticPr fontId="3" type="noConversion"/>
  </si>
  <si>
    <t>서보슬</t>
    <phoneticPr fontId="3" type="noConversion"/>
  </si>
  <si>
    <t>공과금</t>
    <phoneticPr fontId="29" type="noConversion"/>
  </si>
  <si>
    <t>Sub 메인</t>
    <phoneticPr fontId="29" type="noConversion"/>
  </si>
  <si>
    <t>BFE-50000</t>
    <phoneticPr fontId="3" type="noConversion"/>
  </si>
  <si>
    <r>
      <rPr>
        <strike/>
        <sz val="9"/>
        <color theme="1"/>
        <rFont val="KB금융 본문체 Light"/>
        <family val="3"/>
        <charset val="129"/>
      </rPr>
      <t>① 외환메인 신설, (마이딜링룸 포함)
② 환율 정보 제공 (가칭 : 시장정보)
     ㅇ 주요통화(USD, JPY, EUR) 외 '다른통화 보기' 이동 기능
     ㅇ 약 20여개 다른 통화는 스와이프로 차례대로 제시 (선호하는 환율 순서대로 배치하는 옵션 필요)
     ㅇ 기준환율/시장환율로 구분(환율 DashBoard)
     ㅇ 환율의 변동시마다 환율 테이블을 깜박거리며 환율의 변동을 표시           
          ※ 기준환율은 1일 1백회 전후로 변동하고, 시장환율은 9:00~16:30까지 5초에 한번씩 변동
     ㅇ 고객 사실때(Buy), 파실 때(Sell) 구분 및 등락률 표시 
③ 환율 정보 표시후 메뉴별 바로가기성 퀵 버튼 제공 (환율, 환전, 송금 등)       
     * KB스타뱅킹 길라잡이 – UI 참고</t>
    </r>
    <r>
      <rPr>
        <sz val="9"/>
        <color theme="1"/>
        <rFont val="KB금융 본문체 Light"/>
        <family val="3"/>
        <charset val="129"/>
      </rPr>
      <t xml:space="preserve">
======================================================
환율/환전/해외송금/국내외화이체/환율픽 등 주요 외환메뉴에 빠르게 접근할 수 있는 형태로 구현희망
</t>
    </r>
    <phoneticPr fontId="3" type="noConversion"/>
  </si>
  <si>
    <t>외환마케팅부/구지연
자본시장부/이한욱</t>
    <phoneticPr fontId="29" type="noConversion"/>
  </si>
  <si>
    <t>20201223_UIUX(외환)_회의록_외환 1차 요구사항분석_Ver 1.0.docx
20210114_UIUX(외환)_회의록_외환 IT협의_Ver 1.0.docx
20210210_UIUX(외환)_회의록_외환 요구사항 변경_Ver 1.0.docx</t>
    <phoneticPr fontId="3" type="noConversion"/>
  </si>
  <si>
    <t>김명환</t>
    <phoneticPr fontId="29" type="noConversion"/>
  </si>
  <si>
    <t>외환</t>
    <phoneticPr fontId="3" type="noConversion"/>
  </si>
  <si>
    <t>김서욱 차장</t>
    <phoneticPr fontId="3" type="noConversion"/>
  </si>
  <si>
    <t>- 스타뱅킹 외환Main을 증권사 MTS의 UI와 유사하게 각종 통화들의 환율, 차트 및 외환시장의 뉴스를 실시간으로 함께 업데이트해주는 Dashboard 형태로 구성
- KB환율픽서비스를 연동하여 고객에게 빠른 정보전달 및 거래 수단을 제공</t>
    <phoneticPr fontId="29" type="noConversion"/>
  </si>
  <si>
    <t>20201222_UIUX(외환)_회의록_외환 요구사항 삭제 자료수신_Ver 1.0.docx</t>
    <phoneticPr fontId="3" type="noConversion"/>
  </si>
  <si>
    <t>BFE-50002</t>
    <phoneticPr fontId="3" type="noConversion"/>
  </si>
  <si>
    <t>- 마이메뉴 내 「주요지수」 및 「증시일정」 : 외환 메인 밖 별도 콘텐츠로 분리 
- 투자상품 신규/운용 시 실시간 시황 자료 조회 기능 제공
  ㅇ AS-IS : 금융서비스 &gt; 마이딜링룸 &gt; 외환시황 &gt; 주요지수 / 증시일정
  ㅇ TO-BE : 펀드, 신탁 등 상품 안내 시 or 자산관리 콘텐츠와 연결</t>
    <phoneticPr fontId="29" type="noConversion"/>
  </si>
  <si>
    <t>빠른 외화송금 (개인) 신설</t>
    <phoneticPr fontId="29" type="noConversion"/>
  </si>
  <si>
    <r>
      <rPr>
        <strike/>
        <sz val="9"/>
        <color rgb="FFFF0000"/>
        <rFont val="KB금융 본문체 Light"/>
        <family val="3"/>
        <charset val="129"/>
      </rPr>
      <t>① 개인고객 대상 빠른 외화송금 거래 신설
     ㅇ 서비스 신청 절차는 빠른이체 서비스 등록절차 준용
     ㅇ 해외송금만 적용 예정 (국내외화이체의 경우, 개발범위 검토 후 결정)
     ㅇ 외화송금 메뉴 통합으로 송금거래가 많다고 판단되면, 송금주소록에 저장된 내역을 송금할 때 전자서명을 생략하는 거래로 검토 예정</t>
    </r>
    <r>
      <rPr>
        <sz val="9"/>
        <color rgb="FFFF0000"/>
        <rFont val="KB금융 본문체 Light"/>
        <family val="3"/>
        <charset val="129"/>
      </rPr>
      <t xml:space="preserve">
--&gt; 요건삭제 (20210128_UIUX(외환)_회의록_외환 IT협의)
</t>
    </r>
    <phoneticPr fontId="3" type="noConversion"/>
  </si>
  <si>
    <t>외환마케팅부/구지연</t>
    <phoneticPr fontId="29" type="noConversion"/>
  </si>
  <si>
    <t>20201223_UIUX(외환)_회의록_외환 1차 요구사항분석_Ver 1.0.docx
20201230_UIUX(외환)_회의록_외환 2차 요구사항분석_Ver 1.0.docx
20210114_UIUX(외환)_회의록_외환 IT협의_Ver 1.0.docx
20210128_UIUX(외환)_회의록_외환 IT협의_Ver 1.0.docx</t>
    <phoneticPr fontId="3" type="noConversion"/>
  </si>
  <si>
    <t>자동·예약송금 신설
(구. WISE해외송금, 맞춤송금)</t>
    <phoneticPr fontId="29" type="noConversion"/>
  </si>
  <si>
    <t>BFE-50020</t>
    <phoneticPr fontId="3" type="noConversion"/>
  </si>
  <si>
    <r>
      <t xml:space="preserve">① 고객이 지정한 환율이 전신환매도율(전신으로 송금하는 경우 적용되는 환율)에 도달한 경우, 설정된 정보로 송금되는 서비스 신설
      ㅇ 이체주기 또는 일회성 해외송금 예약 
      ㅇ 외화금액/원화금액 환산액 기준으로 송금예약 가능
      ㅇ 원화 출금계좌, 외화 출금계좌 모두 가능 (기존 원화 출금계좌만 가능)
      ㅇ 거래 체결 이전인 경우, 
          1) ‘신청 취소’ 기능 제공
          2) 해외송금조회 화면 내 대기명세(맞춤송금 미체결건)를 구분하여 표시 
      ㅇ 알림 형태는 LMS(SMS)로 검토 중 (Push의 경우, 고객 동의 필요)
       ※ 참고 : 구. WISE해외송금 DEVELOP VER.
</t>
    </r>
    <r>
      <rPr>
        <sz val="9"/>
        <color rgb="FFFF0000"/>
        <rFont val="KB금융 본문체 Light"/>
        <family val="3"/>
        <charset val="129"/>
      </rPr>
      <t>--&gt; 요건 삭제 (20210210_UIUX(외환)_회의록_외환 요구사항 변경_Ver 1.0.docx)</t>
    </r>
    <r>
      <rPr>
        <strike/>
        <sz val="9"/>
        <color rgb="FFFF0000"/>
        <rFont val="KB금융 본문체 Light"/>
        <family val="3"/>
        <charset val="129"/>
      </rPr>
      <t xml:space="preserve">
</t>
    </r>
    <phoneticPr fontId="3" type="noConversion"/>
  </si>
  <si>
    <t>외환 인터넷뱅킹 개편내용 준용</t>
    <phoneticPr fontId="3" type="noConversion"/>
  </si>
  <si>
    <t>20201223_UIUX(외환)_회의록_외환 1차 요구사항분석_Ver 1.0.docx
20201230_UIUX(외환)_회의록_외환 2차 요구사항분석_Ver 1.0.docx
20210114_UIUX(외환)_회의록_외환 IT협의_Ver 1.0.docx
20210210_UIUX(외환)_회의록_외환 요구사항 변경_Ver 1.0.docx</t>
    <phoneticPr fontId="3" type="noConversion"/>
  </si>
  <si>
    <t xml:space="preserve">
- 김홍윤팀장, 정현석대리, 유승완 대리
- 송혜경 과장</t>
    <phoneticPr fontId="3" type="noConversion"/>
  </si>
  <si>
    <t>- 송금업무관련으로 외환업무 추가
- 회의시 현업 반드시 참석 필요함</t>
    <phoneticPr fontId="3" type="noConversion"/>
  </si>
  <si>
    <t>BFE-50021</t>
    <phoneticPr fontId="3" type="noConversion"/>
  </si>
  <si>
    <t xml:space="preserve">① 고객이 지정한 환율이 전신환매도율(전신으로 송금하는 경우 적용되는 환율)에 도달한 경우, 바로 송금되는 서비스 신설
      ㅇ 거래 체결 이전인 경우, 
          1) ‘신청 취소’ 기능 제공
          2) 해외송금조회 화면 내 대기명세(맞춤송금 미체결건)를 구분하여 표시 
      ㅇ 알림 형태는 LMS(SMS)로 검토 중 (Push의 경우, 고객 동의 필요)
       ※ 참고 : 인터넷뱅킹 &gt; 맞춤환율 송금 :  '맞춤환율 송금' : 고객이 일정한 금액의 외국환을 송금할 수 있는 환율을 예약하고, 
       예약 신청한 날로부터 장래의 특정한 기일 이내에, 은행이 고시하는 대고객 전신환매도율이 고객이 예약 지정한 환율에 도달하여 거래가 체결될 경우 
       동 외국환 대금을 해외로 송금하는 거래
</t>
    <phoneticPr fontId="3" type="noConversion"/>
  </si>
  <si>
    <t>20201223_UIUX(외환)_회의록_외환 1차 요구사항분석_Ver 1.0.docx
20201230_UIUX(외환)_회의록_외환 2차 요구사항분석_Ver 1.0.docx
20210114_UIUX(외환)_회의록_외환 IT협의_Ver 1.0.docx</t>
    <phoneticPr fontId="3" type="noConversion"/>
  </si>
  <si>
    <t>Biz-118</t>
    <phoneticPr fontId="3" type="noConversion"/>
  </si>
  <si>
    <t>- 환율 Dashboard기능 개선
  ㅇ 증시 시황 데이터 업데이트 시간 단축
  ㅇ 시황 차트 그래픽, 조회기능 개선
- 화면 구현
  ㅇ 증권사 MTS에 준하는 Interactive한 Dashboard의 구현 (차트 솔루션을 활용한 그래픽 개선)
  ㅇ 실시간 환율 정보를 반영한 당행 자체 차트의 추가 (현재 인포맥스 외부업체 제공 데이터 배치)
  ㅇ 고객 거래시 고객에게 적용되는 환율을 실시간으로 업데이트
  ㅇ 시각적 효과 및 입력 기능 다양화</t>
    <phoneticPr fontId="29" type="noConversion"/>
  </si>
  <si>
    <t>KB환율픽</t>
    <phoneticPr fontId="29" type="noConversion"/>
  </si>
  <si>
    <t>KB환율픽 통폐합</t>
    <phoneticPr fontId="29" type="noConversion"/>
  </si>
  <si>
    <r>
      <t xml:space="preserve">- 메뉴 통폐합
</t>
    </r>
    <r>
      <rPr>
        <strike/>
        <sz val="9"/>
        <rFont val="KB금융 본문체 Light"/>
        <family val="3"/>
        <charset val="129"/>
      </rPr>
      <t>① KB환율픽 메뉴 통합 「거래주문」 : 「거래주문」 + 「원클릭주문」 
② KB환율픽 메뉴 통합 「거래주문 내역 조회/변경/취소」 : 「변경/취소」 + 「거래주문내역조회」
③ KB환율픽 메뉴 통합 「환율고시」 : 「환율고시」 + 「환율고시내역조회」
      * 환율픽 환율정보 조회를 위해선 로그인 필수 (거래전용 시장연동환율 제공)</t>
    </r>
    <r>
      <rPr>
        <sz val="9"/>
        <rFont val="KB금융 본문체 Light"/>
        <family val="3"/>
        <charset val="129"/>
      </rPr>
      <t xml:space="preserve">
-&gt; TO-BE IA 구조도에 맞게 재구성 함</t>
    </r>
    <phoneticPr fontId="3" type="noConversion"/>
  </si>
  <si>
    <t>자본시장부/이한욱</t>
    <phoneticPr fontId="29" type="noConversion"/>
  </si>
  <si>
    <t>IA 최종 확정에 따라 요건 변경 가능</t>
    <phoneticPr fontId="3" type="noConversion"/>
  </si>
  <si>
    <t>20201223_UIUX(외환)_회의록_외환 1차 요구사항분석_Ver 1.0.docx
20210114_UIUX(외환)_회의록_외환 IT협의_Ver 1.0.docx</t>
    <phoneticPr fontId="3" type="noConversion"/>
  </si>
  <si>
    <t>외화보통 예금 해지</t>
    <phoneticPr fontId="29" type="noConversion"/>
  </si>
  <si>
    <t xml:space="preserve">외화보통예금 해지 프로세스 신설 (원화 해지프로세스 준용) </t>
    <phoneticPr fontId="29" type="noConversion"/>
  </si>
  <si>
    <t xml:space="preserve">① 원화요구불 해지 프로세스 준용하여 신설
      ㅇ 원화금액으로 해지 : 해당시점 환율을 적용해 잔액을 원화로 환전 후 입금 (당행 원화 요구불 보유시 지원)
② 외화예금해지/예상조회 메뉴 통합
      ㅇ 계좌해지 전체 통합 (ex. 탭방식 (상품 별 전체 해지))
======================================================
추가기재사항
* 외화보통예금 해지 조건 : 
① 잔액(이자포함) &gt; 0 이상인 경우
② 원화요구불계좌에 해지금액 입금처리(포지션거래만 가능, 외화대체거래 불가)
③ 입금계좌번호 콤보박스 선택시 외화요구불통장 명세 제공 안함
④ 해지금액 원화요구불계좌 입금시 입금지정계좌를 지정한 고객의 경우 지정한 계좌로만 입금처리
⑤ 해지금액은 전자금융 당일이체누계에 포함 안됨
</t>
    <phoneticPr fontId="3" type="noConversion"/>
  </si>
  <si>
    <t>조건부승인</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</si>
  <si>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IT협의 완료</t>
    </r>
    <phoneticPr fontId="3" type="noConversion"/>
  </si>
  <si>
    <t>코어뱅킹1플랫폼부</t>
    <phoneticPr fontId="3" type="noConversion"/>
  </si>
  <si>
    <t xml:space="preserve"> 진효정 대리</t>
    <phoneticPr fontId="3" type="noConversion"/>
  </si>
  <si>
    <t>환율조회 /환율추이</t>
    <phoneticPr fontId="29" type="noConversion"/>
  </si>
  <si>
    <t>① 환율정보 UI 개선
      ㅇ 심플한 형태의 환율 Linear 그래프 제공, 포인터 이동을 통해 해당 일자의 환율 세부정보 제공
      ㅇ 차트 솔루션 : 인터넷뱅킹 프로젝트 개발사항 준용
② 환율정보 개선 
      ㅇ 각 통화에 대한 일별, 기간별 환율정보 제공 
      ㅇ 기간별 조회 옵션 제공 (당일, 1주일, 1달, 3개월, 1년, 3년 등)
      ㅇ 희망하는 외화 선택 후 조회 (기본 : USD, 전체 통화 내역 : 정리중)
      ㅇ 통화별 환율 상세정보 제공 (현재 기준환율, 현찰 사실 때, 현찰 파실 때, 송금 보내실 때, 송금 받으실 때) 
      ㅇ 통화별 최고, 최저, 일평균 환율 제공 
      ㅇ KB 내 운영 중인 2개의 환율정보 제공 (Linear 그래프, 테이블 차트) 
          * 환율정보 : 일반 고시환율, KB FX환율(시장환율)
③ 메뉴 경로 
      ㅇ 메뉴 경로 : 외환 &gt; 환율정보&amp;환율픽 &gt; 환율정보</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</si>
  <si>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 KB FX환율 노출관련 요건 삭제, IT협의 완료</t>
    </r>
    <phoneticPr fontId="3" type="noConversion"/>
  </si>
  <si>
    <t>20201223_UIUX(외환)_회의록_외환 1차 요구사항분석_Ver 1.0.docx
20201230_UIUX(외환)_회의록_외환 2차 요구사항분석_Ver 1.0.docx
20210210_UIUX(외환)_회의록_외환 요구사항 변경_Ver 1.0.docx</t>
    <phoneticPr fontId="3" type="noConversion"/>
  </si>
  <si>
    <t xml:space="preserve"> 이향림 과장</t>
    <phoneticPr fontId="3" type="noConversion"/>
  </si>
  <si>
    <t>Biz-122</t>
    <phoneticPr fontId="3" type="noConversion"/>
  </si>
  <si>
    <t>해외수취인 앞 송금정보 요청 기능 신설</t>
    <phoneticPr fontId="29" type="noConversion"/>
  </si>
  <si>
    <t>BFE-50060</t>
    <phoneticPr fontId="3" type="noConversion"/>
  </si>
  <si>
    <r>
      <rPr>
        <strike/>
        <sz val="9"/>
        <color rgb="FFFF0000"/>
        <rFont val="KB금융 본문체 Light"/>
        <family val="3"/>
        <charset val="129"/>
      </rPr>
      <t>해외수취인 앞 송금정보 요청 기능 신설</t>
    </r>
    <r>
      <rPr>
        <sz val="9"/>
        <color rgb="FFFF0000"/>
        <rFont val="KB금융 본문체 Light"/>
        <family val="3"/>
        <charset val="129"/>
      </rPr>
      <t xml:space="preserve">
영문계좌확인서(해외송금용)</t>
    </r>
    <phoneticPr fontId="3" type="noConversion"/>
  </si>
  <si>
    <r>
      <t xml:space="preserve">① 해외송금에 대한 해외 수취인의 송금 정보입력 서비스 제공 
      ㅇ 국내 송금인이 해외 수취인에게 송금 정보를 입력할 수 있는 웹페이지의 URL을 카카오톡이나 SMS로 전달
      ㅇ 해외 수취인이 웹페이지에서 수취정보 입력
      ㅇ 해외 수취인이 수취정보를 입력한 경우, 국내 송금인의 송금주소록에 저장
      ㅇ New 스타뱅킹 : 이미지 다운로드, 이미지 공유
      ㅇ 외환 인터넷뱅킹 : 이미지 다운로드만 가능 (인터넷뱅킹 다국어 화면에서 수취계좌 진위여부 기능 제공예정)
          ※ 참고 : K뱅크 - 수취인 송금 정보 직접 입력 서비스
--&gt;  요건 변경 (해외 송금 입력항목에 대한 이미지 전송등의 다른 방안으로 대체)
======================================================================
- 해외송금을 받기 위해 필요한 정보를 이미지로 다운로드 및 공유하기 기능 제공
- 발급번호 표시 필요 (kbstar.com &gt; 다국어 페이지 내 진위여부 확인기능 신설예정)
1. 프로세스 
     가. 고객계좌번호 입력 및 영문명 확인
     나. 발급
     다. 이미지파일 생성 &gt; 다운로드/이미지공유 기능
</t>
    </r>
    <r>
      <rPr>
        <sz val="9"/>
        <color rgb="FFFF0000"/>
        <rFont val="KB금융 본문체 Light"/>
        <family val="3"/>
        <charset val="129"/>
      </rPr>
      <t>--&gt; 삭제 (회의록 : 20210217_UIUX(외환)_회의록_외환 IT협의_Ver 1.0.docx)</t>
    </r>
    <phoneticPr fontId="3" type="noConversion"/>
  </si>
  <si>
    <t>해외송금 수취정보 임시저장</t>
    <phoneticPr fontId="29" type="noConversion"/>
  </si>
  <si>
    <t>해외송금 예비거래의 수취정보 임시저장 기능 추가</t>
    <phoneticPr fontId="3" type="noConversion"/>
  </si>
  <si>
    <r>
      <rPr>
        <strike/>
        <sz val="9"/>
        <color theme="1"/>
        <rFont val="KB금융 본문체 Light"/>
        <family val="3"/>
        <charset val="129"/>
      </rPr>
      <t>① 해외송금 정보입력 화면에 ‘임시저장’ 버튼 상시 제공
            ㅇ 하나 이상의 송금정보가 입력된 상태에서 ‘임시저장’ 선택 시, 입력된 송금정보 저장
            ㅇ 임시저장된 상태에서 해외송금 화면 집입 시, 가장 최근 저장된 송금정보 한 건에 대한 알림정보 제공
            ㅇ 임시저장된 송금정보로 본 거래 완료 시, 임시저장 정보 삭제
② 해외송금 정보 입력 후 예비거래로 이동 후 시스템 오류로 거래가 미완료된 경우 수취정보 임시저장</t>
    </r>
    <r>
      <rPr>
        <sz val="9"/>
        <color theme="1"/>
        <rFont val="KB금융 본문체 Light"/>
        <family val="3"/>
        <charset val="129"/>
      </rPr>
      <t xml:space="preserve">
==========================================================================
'가. 거래화면 &gt;&gt;&gt; 예비거래 등 이동시 화면 입력값 임시 저장
나. 임시저장 : 입력값 입력 중 "임시저장"하고 해당 거래를 완료 하지 않은 경우
                      화면 이탈 후, 재진입 시 "기존에 작성하시던 내용이 있습니다. 불러오시겠습니까?" Y/N
                      ㅇ Y 선택 시 &gt;&gt;&gt;&gt; 임시저장되었던 값을 SET
                      ㅇ N 선택 시 &gt;&gt;&gt;&gt; 화면 초기화 및 임시저장 DATA 삭제처리
</t>
    </r>
    <phoneticPr fontId="3" type="noConversion"/>
  </si>
  <si>
    <t>20201223_UIUX(외환)_회의록_외환 1차 요구사항분석_Ver 1.0.docx
20201230_UIUX(외환)_회의록_외환 2차 요구사항분석_Ver 1.0.docx
20210128_UIUX(외환)_회의록_외환 IT협의_Ver 1.0.docx
20210210_UIUX(외환)_회의록_외환 요구사항 변경_Ver 1.0.docx</t>
    <phoneticPr fontId="3" type="noConversion"/>
  </si>
  <si>
    <t>외화예금 가입 프로세스 개선</t>
    <phoneticPr fontId="29" type="noConversion"/>
  </si>
  <si>
    <t xml:space="preserve">① 원화 요구불 신규 / 정기예금 신규 수준으로 간편하게 프로세스 개선
      ※ 검토의견 : 외화요구불 신규 관련(외화 요구불신규 시, 현재 당행출금계좌1USD 직접이체 방식 &gt; 요구불계좌번호 검증방식으로 변경)
                       (정보보호부 의견) 가능함. 과거 무자원신규에 대한 이슈가 있었지만 현재 해당이슈가 사라져서 원화 요구불신규도 
                       무자원신규 가능하므로 외화 요구불도 문제 없음. 6.16 확인
===========================================================
(추가기재)
1. 보통예금, 정기예금 모든 단계의 UI/UX를 원화예금 기준으로 통일
2. 외화예금 관련 상품팩토리와 상품어드민, 콜센터시스템 등과의 연계 개발
    (원화예금과 동일한 프로세스 구현)
</t>
    <phoneticPr fontId="3" type="noConversion"/>
  </si>
  <si>
    <t>IT협의 완료</t>
    <phoneticPr fontId="3" type="noConversion"/>
  </si>
  <si>
    <t>진효정 대리</t>
    <phoneticPr fontId="3" type="noConversion"/>
  </si>
  <si>
    <t>BFE-50081</t>
    <phoneticPr fontId="3" type="noConversion"/>
  </si>
  <si>
    <r>
      <t xml:space="preserve">- 외화보통예금 입/출금 거래 통합
  ㅇ Tap 방식으로 메뉴 통합 (메뉴/명칭 통합)
  ㅇ 입/출금통화, 금액 입력 시(또는 입력 후 예상조회 버튼 클릭 시) 입력란 하단에 적용환율 및 예상입금액 노출
  ㅇ ‘내 계좌로 입금하는 경우’, ‘타인의 계좌로 입금하는 경우’ 라디오 버튼 신설하여 본인계좌 입금 시 입금계좌란이 콤보박스 형태로 노출되어 본인 원화요구불 계좌 선택가능하도록 함, 타인계좌 입금 시 입금계좌란이 입력칸 방식으로 노출되고 상단에 자주 쓰는 입금계좌(또는 최근 입금계좌) 버튼을 통해 입금정보 확인 가능하도록 함
  ㅇ 추가 간소화 : '내계좌로 입금' 시 비번입력 및 전자서명(인증) 절차 생략 가능여부 검토 (원화계좌 '내계좌 이체'와 동일)
  ㅇ 금액 입력방식 추가 : 외화예금 입/출금 시 원화기준금액 입력 방식 추가 (\→$)
- 외화정기예금 추가입금 거래 간소화
  ㅇ 보안매체, 전자서명 입력생략 -&gt; 출금계좌비밀번호만 유지
</t>
    </r>
    <r>
      <rPr>
        <sz val="9"/>
        <rFont val="KB금융 본문체 Light"/>
        <family val="3"/>
        <charset val="129"/>
      </rPr>
      <t xml:space="preserve">====================================
인터넷뱅킹 신설 "외화이체" 및 "외화이체내역조회" 기능 NEW스타뱅킹 내 구현 
</t>
    </r>
    <phoneticPr fontId="29" type="noConversion"/>
  </si>
  <si>
    <t>외환마케팅부</t>
    <phoneticPr fontId="29" type="noConversion"/>
  </si>
  <si>
    <t>20201222_UIUX(외환)_회의록_외환 요구사항 삭제 자료수신_Ver 1.0.docx
20210210_UIUX(외환)_회의록_외환 요구사항 변경_Ver 1.0.docx</t>
    <phoneticPr fontId="3" type="noConversion"/>
  </si>
  <si>
    <t>외환 메뉴 그룹핑 개선</t>
    <phoneticPr fontId="29" type="noConversion"/>
  </si>
  <si>
    <t>① 고객 관점의 메뉴 접근 경로 간소화
     ㅇ 외환 메뉴를 선택하면 포털 화면처럼 “환전/송금/외화예금”이 한눈에 보이도록 배치
     ㅇ DIY메뉴 구성을 통해 고객이 자주 이용하는 거래 직접 배치할 수 있도록 구성 / DIY 기능 범위 확인
     ㅇ 1차 메뉴 예시: MY외환, 환율정보&amp;환율픽, 환전, 외화예금, 해외외화송금, 국내외화송금
     ㅇ NEW KB스타뱅킹 개편 메뉴구조도를 준용함</t>
    <phoneticPr fontId="3" type="noConversion"/>
  </si>
  <si>
    <r>
      <rPr>
        <sz val="10"/>
        <color rgb="FF0000FF"/>
        <rFont val="KB금융 본문체 Light"/>
        <family val="3"/>
        <charset val="129"/>
      </rPr>
      <t>[0504]</t>
    </r>
    <r>
      <rPr>
        <sz val="10"/>
        <color theme="1"/>
        <rFont val="KB금융 본문체 Light"/>
        <family val="3"/>
        <charset val="129"/>
      </rPr>
      <t>조건부승인-&gt;승인</t>
    </r>
    <phoneticPr fontId="3" type="noConversion"/>
  </si>
  <si>
    <t>20201223_UIUX(외환)_회의록_외환 1차 요구사항분석_Ver 1.0.docx
20201230_UIUX(외환)_회의록_외환 2차 요구사항분석_Ver 1.0.docx</t>
    <phoneticPr fontId="3" type="noConversion"/>
  </si>
  <si>
    <t>해외송금 경로추적 서비스 신설</t>
    <phoneticPr fontId="29" type="noConversion"/>
  </si>
  <si>
    <t>BFE-50100</t>
    <phoneticPr fontId="3" type="noConversion"/>
  </si>
  <si>
    <t xml:space="preserve">① 해외송금의 실시간 추적서비스 제공
      ㅇ 해외송금 완료 후 자금 이동 경로 및 수취 상황 조회 
          ※ 참고 : 
             - 개요 : 현재 기업 대상으로만 제공 중인 KB GPI 해외송금 서비스를 개인 고객에게도 확대 적용
             - 가능 통화 : 전 통화로 확대 (현재 USD, EUR, JPY 3개 통화만 제공)
             - 수수료 : 일반 해외송금과 동일 (추가 수수료 없음)
             - 추적 가능 사항 : 진행상태(하단 참조) 및 각 진행상태별 한국 기준일시(YYYY/MM/DD HH:MM) 
                ·  신청 : 고객이 해외송금 신청 후 해외은행으로 전문 발송 완료 이전
                ·  송금 중 : 당행에서 해외은행으로 전문 발송 완료(ACK) ~ 수취은행에 전문 도착 이전
                ·  수취은행 처리중 : 수취은행에 전문 도착부터 ACCC, RJCT, RETN 코드 수신 전 까지
                ·  수취 완료 : 수취은행에서 ACCC 코드 수신
                ·  수취 거절 : 수취은행에서 RJCT 코드 수신
                ·  자금 반환 : 수취은행에서 RETN 코드 수신
            - 제약 사항 :                
             1) 수취은행의 BIC코드 필수               
             2) SWIFT해외송금에 한하여 서비스 제공되며, 웨스턴유니온/WING 등은 서비스 제공 불가                
             3) 수취은행이 SWIFT GPI 미가입은행인 경우 수취완료/수취거절/자금반환 정보 제공 불가
      ㅇ 뉴스타뱅킹 서비스 제공을 위해 단말거래 개선 필요
          ※ 현재 Tracker가 기업전용으로 달말(00-41-008), 기업인터넷뱅킹, 기업스마트뱅킹에 개발되어 있음. 뉴스타뱅킹 적용을 위해 축약된 정보로 재구성 필요
==============================================
IA 기준 보낸송금내역조회, 받은송금내역조회에서 동 기능 제공(외환 인터넷뱅킹 개편사항 준용)
</t>
    <phoneticPr fontId="3" type="noConversion"/>
  </si>
  <si>
    <r>
      <rPr>
        <sz val="10"/>
        <color rgb="FF0000FF"/>
        <rFont val="KB금융 본문체 Light"/>
        <family val="3"/>
        <charset val="129"/>
      </rPr>
      <t>[0504]</t>
    </r>
    <r>
      <rPr>
        <sz val="10"/>
        <color theme="1"/>
        <rFont val="KB금융 본문체 Light"/>
        <family val="3"/>
        <charset val="129"/>
      </rPr>
      <t>조건부승인-&gt;삭제
개인뱅킹에서는 해당 서비스를 제공하지 않음
- 외환마케팅 : 구지연 과장 확인 완료</t>
    </r>
    <phoneticPr fontId="3" type="noConversion"/>
  </si>
  <si>
    <t>김건남 차장</t>
    <phoneticPr fontId="3" type="noConversion"/>
  </si>
  <si>
    <t>외환업무</t>
    <phoneticPr fontId="3" type="noConversion"/>
  </si>
  <si>
    <t>해외송금 우대정보 화면 출력</t>
    <phoneticPr fontId="29" type="noConversion"/>
  </si>
  <si>
    <r>
      <rPr>
        <strike/>
        <sz val="9"/>
        <color theme="1"/>
        <rFont val="KB금융 본문체 Light"/>
        <family val="3"/>
        <charset val="129"/>
      </rPr>
      <t>해외송금 우대정보 화면 출력 기능 추가</t>
    </r>
    <r>
      <rPr>
        <sz val="9"/>
        <color theme="1"/>
        <rFont val="KB금융 본문체 Light"/>
        <family val="3"/>
        <charset val="129"/>
      </rPr>
      <t xml:space="preserve">
해외송금 최저수수료 상품 자동분기 처리 및 우대정보 예비거래 전 입력화면 상 조회하는 기능</t>
    </r>
    <phoneticPr fontId="29" type="noConversion"/>
  </si>
  <si>
    <t xml:space="preserve">① 해외송금 시 일반해외송금과 자동적용(현재 송금정보 입력값에 따라 저렴한 서비스 적용됨)된 해외송금 서비스 간 비교데이터 화면 출력
     ㅇ 서비스 간 비교항목: 서비스명, 송금수수료, 전신료, 중계수수료
     ㅇ 일반해외송금 시 발생되는 수수료 총액에서 자동적용된 서비스 이용 시 발생된 수수료 총액을 차감하여 ‘절약금액’ 화면 출력
==========================================
AS-IS 스타뱅킹 내 구현된 최저수수료 상품 자동처리 프로세스 준용 
</t>
    <phoneticPr fontId="3" type="noConversion"/>
  </si>
  <si>
    <t>외환 인터넷뱅킹 개편내용 준용, IT협의 완료</t>
    <phoneticPr fontId="3" type="noConversion"/>
  </si>
  <si>
    <t>송혜경 과장</t>
    <phoneticPr fontId="3" type="noConversion"/>
  </si>
  <si>
    <t>- 외환업무
- 회의시 현업 반드시 참석 필요함</t>
    <phoneticPr fontId="3" type="noConversion"/>
  </si>
  <si>
    <t>송금인 정보 입력 간소화</t>
    <phoneticPr fontId="29" type="noConversion"/>
  </si>
  <si>
    <t>① 외화송금(해외/국내송금) 정보입력 화면에 내영문정보관리에 등록된 영문정보 기본 노출 (필요시 수정)
      ※ 현재 송금인 영문명, 전화번호를 매 거래마다 직접 입력 
      ※ 영문주소등록 화면에서 등록한 송금인 영문주소 정보 없을 경우, 외화송금 예비거래단계에서 오류 발생</t>
    <phoneticPr fontId="3" type="noConversion"/>
  </si>
  <si>
    <t>데이터분석플랫폼부</t>
    <phoneticPr fontId="3" type="noConversion"/>
  </si>
  <si>
    <t>부서 및 담당자 확인 필요</t>
    <phoneticPr fontId="3" type="noConversion"/>
  </si>
  <si>
    <t>거래외국환은행 지정 거래 확대</t>
    <phoneticPr fontId="29" type="noConversion"/>
  </si>
  <si>
    <r>
      <rPr>
        <strike/>
        <sz val="9"/>
        <color theme="1"/>
        <rFont val="KB금융 본문체 Light"/>
        <family val="3"/>
        <charset val="129"/>
      </rPr>
      <t>거래외국환은행 지정 거래 확대 및 조회 기능 확대</t>
    </r>
    <r>
      <rPr>
        <sz val="9"/>
        <color theme="1"/>
        <rFont val="KB금융 본문체 Light"/>
        <family val="3"/>
        <charset val="129"/>
      </rPr>
      <t xml:space="preserve">
=================
거래외국환은행지정가능항목 추가 </t>
    </r>
    <phoneticPr fontId="3" type="noConversion"/>
  </si>
  <si>
    <t xml:space="preserve">① 거래외국환은행 지정 거래 5건으로 확대
      ㅇ 총 5건 제공
          1) 기존 1건 (거주자의 증빙서류 미제출 송금)
          2) 외환 인터넷뱅킹 프로젝트 3건 준용 (자본시장부/이한욱과장님)
          3) 신규 1건 (증빙서류 없는 자본의 영수)
② 거래외국환은행 지정 조회 기능 확대 
      ㅇ 거래외국환은행 지정정보(등록일, 관리점), 해당 지정건 송금이력(+금액), 송금한도 조회
===============================================================
'현재 신규지정가능항목
-실시간지정 : 001
-지점추가처리필요: 002, 008
-추가대상 : 079 (증빙서류없는자본의영수) </t>
    <phoneticPr fontId="3" type="noConversion"/>
  </si>
  <si>
    <t>MY외화자산</t>
    <phoneticPr fontId="29" type="noConversion"/>
  </si>
  <si>
    <t>BFE-50140</t>
    <phoneticPr fontId="3" type="noConversion"/>
  </si>
  <si>
    <r>
      <rPr>
        <strike/>
        <sz val="9"/>
        <color theme="1"/>
        <rFont val="KB금융 본문체 Light"/>
        <family val="3"/>
        <charset val="129"/>
      </rPr>
      <t xml:space="preserve">(MY외화자산 하단에 자산현황으로 구성)
</t>
    </r>
    <r>
      <rPr>
        <sz val="9"/>
        <color theme="1"/>
        <rFont val="KB금융 본문체 Light"/>
        <family val="3"/>
        <charset val="129"/>
      </rPr>
      <t xml:space="preserve">① 메뉴 위치 변경
     ㅇ 기존 : 금융서비스 &gt; 마이딜링룸 &gt; 나의외화자산
② 외화자산요약 </t>
    </r>
    <r>
      <rPr>
        <strike/>
        <sz val="9"/>
        <color theme="1"/>
        <rFont val="KB금융 본문체 Light"/>
        <family val="3"/>
        <charset val="129"/>
      </rPr>
      <t>+ 평가금액변동량 화면 통합</t>
    </r>
    <r>
      <rPr>
        <sz val="9"/>
        <color theme="1"/>
        <rFont val="KB금융 본문체 Light"/>
        <family val="3"/>
        <charset val="129"/>
      </rPr>
      <t xml:space="preserve"> </t>
    </r>
    <r>
      <rPr>
        <strike/>
        <sz val="9"/>
        <color theme="1"/>
        <rFont val="KB금융 본문체 Light"/>
        <family val="3"/>
        <charset val="129"/>
      </rPr>
      <t xml:space="preserve">
③ 환율픽 / 외화예금신규 / 국내외화이체 등으로 연결 링크 제공 
※ 기존 - 마이딜링룸은 프로그램 안내페이지로 구성 예정
--&gt; 요건 변경 (Asis기준. 전계좌 조회 &gt; 외화골드 위치로 링크)</t>
    </r>
    <r>
      <rPr>
        <sz val="9"/>
        <color theme="1"/>
        <rFont val="KB금융 본문체 Light"/>
        <family val="3"/>
        <charset val="129"/>
      </rPr>
      <t xml:space="preserve">
</t>
    </r>
    <phoneticPr fontId="3" type="noConversion"/>
  </si>
  <si>
    <t>외환마케팅부/임상택
자본시장부/이한욱</t>
    <phoneticPr fontId="29" type="noConversion"/>
  </si>
  <si>
    <r>
      <rPr>
        <sz val="10"/>
        <color rgb="FF0000FF"/>
        <rFont val="KB금융 본문체 Light"/>
        <family val="3"/>
        <charset val="129"/>
      </rPr>
      <t>[0504]</t>
    </r>
    <r>
      <rPr>
        <sz val="10"/>
        <color theme="1"/>
        <rFont val="KB금융 본문체 Light"/>
        <family val="3"/>
        <charset val="129"/>
      </rPr>
      <t>조건부승인-&gt;삭제
전체계좌조회와 기능 중복으로 삭제 협의
- 기업마케팅부 김동우 과장 협의 완료</t>
    </r>
    <phoneticPr fontId="3" type="noConversion"/>
  </si>
  <si>
    <t>20201223_UIUX(외환)_회의록_외환 1차 요구사항분석_Ver 1.0.docx
20210114_UIUX(외환)_회의록_외환 IT협의_Ver 1.0.docx
20210319_UIUX(외환)_회의록_스토리보드 리뷰(외환정보관리)_Ver 1.0.docx</t>
    <phoneticPr fontId="3" type="noConversion"/>
  </si>
  <si>
    <t>내영문정보관리</t>
    <phoneticPr fontId="29" type="noConversion"/>
  </si>
  <si>
    <t>① 해외송금/국내외화이체에 필요한 송금인의 영문정보를 사전등록/수정
      ㅇ 송금인 영문이름, 전화번호, 영문주소 관리 
      ㅇ 영문 변경정보 CRM에 갱신
      ※ 참고 : 인터넷뱅킹 &gt; 외환 &gt; 송금 &gt; 영문정보등록(변경)
② 영문명 변경 시, 국문명 &gt; 로마자 변환 옵션 제공
      ㅇ 외부 API연동, 외환 인터넷뱅킹 프로젝트 개발 예정
③ 환율픽 / 외화예금신규 / 국내외화이체 등으로 연결 링크 제공</t>
    <phoneticPr fontId="3" type="noConversion"/>
  </si>
  <si>
    <t>외환마케팅부/임상택</t>
    <phoneticPr fontId="29"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</si>
  <si>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IT협의 완료</t>
    </r>
    <phoneticPr fontId="3" type="noConversion"/>
  </si>
  <si>
    <t>20201223_UIUX(외환)_회의록_외환 1차 요구사항분석_Ver 1.0.docx
20201230_UIUX(외환)_회의록_외환 2차 요구사항분석_Ver 1.0.docx
20210210_UIUX(외환)_회의록_외환 요구사항 변경_Ver 1.0.docx
20210319_UIUX(외환)_회의록_스토리보드 리뷰(외환정보관리)_Ver 1.0.docx</t>
    <phoneticPr fontId="3" type="noConversion"/>
  </si>
  <si>
    <t>환전·송금한도조회</t>
    <phoneticPr fontId="29" type="noConversion"/>
  </si>
  <si>
    <t>환전/송금한도 조회 메뉴 신설</t>
    <phoneticPr fontId="29" type="noConversion"/>
  </si>
  <si>
    <t>① 환전/송금한도 정보 제공
      ㅇ 기등록된 거래외국환은행지정 항목별 송금가능 한도 정보 제공
      ㅇ 일별/연간 비대면 거래가능한도 정보 제공
      ㅇ 전자금융출금한도 정보 제공 (원화금액/외화환산액 정보)
※ New 스타뱅킹에서만 진행으로 결정될 경우, 결정사항 및 세부내용 전달 예정</t>
    <phoneticPr fontId="3" type="noConversion"/>
  </si>
  <si>
    <r>
      <rPr>
        <sz val="10"/>
        <color rgb="FF0000FF"/>
        <rFont val="KB금융 본문체 Light"/>
        <family val="3"/>
        <charset val="129"/>
      </rPr>
      <t>[0504]</t>
    </r>
    <r>
      <rPr>
        <sz val="10"/>
        <color theme="1"/>
        <rFont val="KB금융 본문체 Light"/>
        <family val="3"/>
        <charset val="129"/>
      </rPr>
      <t>조건부승인-&gt;승인
스타뱅킹 별도개발 필요
(외환인터넷뱅킹 미진행)</t>
    </r>
    <phoneticPr fontId="3" type="noConversion"/>
  </si>
  <si>
    <t>송금주소록</t>
    <phoneticPr fontId="29" type="noConversion"/>
  </si>
  <si>
    <t>해외송금/국내외화이체의 송금주소록 신설</t>
    <phoneticPr fontId="29" type="noConversion"/>
  </si>
  <si>
    <t xml:space="preserve">① 해외송금/국내외화이체/웨스턴유니온 관련 이체 상대방(수취인)정보를 주소록 형태로 관리
      ㅇ 송금정보 신규등록 제공 
      ㅇ 해외송금/국내외화이체/웨스턴유니온 거래 후 주소록에 추가기능 제공
      ㅇ 영업점 사전등록한 해외송금 정보(리브미리등록송금, WISE해외송금, WISE-ACCOUNT FREE, ATM송금, ONE-ASIA 등 *추가 상세화 필요) 조회 
      ㅇ 영업점 사전등록한 해외송금 정보 송금주소록 내 추가
      ㅇ 해외송금 거래의 해외 수취인이 웹페이지에서 입력한 수취정보 저장
      ※ 외환 인터넷뱅킹 전면개편의 송금주소록 준용 + New 스타뱅킹에서 등록된 해외송금 수취정보로 구성
</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</si>
  <si>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t>
    </r>
    <phoneticPr fontId="3" type="noConversion"/>
  </si>
  <si>
    <t>외환시장정보</t>
    <phoneticPr fontId="29" type="noConversion"/>
  </si>
  <si>
    <r>
      <rPr>
        <strike/>
        <sz val="9"/>
        <color theme="1"/>
        <rFont val="KB금융 본문체 Light"/>
        <family val="3"/>
        <charset val="129"/>
      </rPr>
      <t>외환시장정보 개선</t>
    </r>
    <r>
      <rPr>
        <sz val="9"/>
        <color theme="1"/>
        <rFont val="KB금융 본문체 Light"/>
        <family val="3"/>
        <charset val="129"/>
      </rPr>
      <t xml:space="preserve">
(메뉴명변경)&gt;&gt;&gt;환율동향정보</t>
    </r>
    <phoneticPr fontId="3" type="noConversion"/>
  </si>
  <si>
    <t xml:space="preserve">① 마이딜링룸의 정보로 외환시장정보 메뉴 신설 (아래 화면을 탭형태로 구성)
      ㅇ 외환NEWS (기존 경로 : 금융서비스 &gt; 마이딜링룸 &gt; 외환시황 &gt; 외환NEWS 탭)
      ㅇ 일일/주간환율동향 (기존 경로 : 금융서비스 &gt; 마이딜링룸 &gt; 투자정보 &gt; 시장동향/리포트 &gt; 일간동향 탭)
      ㅇ 주간환율동향 (기존 경로 : 금융서비스 &gt;마이딜링룸 &gt; 투자정보 &gt; 시장동향/리포트 &gt; 주간동향 탭)
</t>
    <phoneticPr fontId="3" type="noConversion"/>
  </si>
  <si>
    <t>20210210_UIUX(외환)_회의록_외환 요구사항 변경_Ver 1.0.docx
20210319_UIUX(외환)_회의록_스토리보드 리뷰(외환정보관리)_Ver 1.0.docx</t>
    <phoneticPr fontId="3" type="noConversion"/>
  </si>
  <si>
    <t>환전신청 개선</t>
    <phoneticPr fontId="29" type="noConversion"/>
  </si>
  <si>
    <t>환전신청 프로세스, 기능 개선</t>
    <phoneticPr fontId="29" type="noConversion"/>
  </si>
  <si>
    <t xml:space="preserve">① 환전신청 프로세스 개선
      ㅇ 환전신청 프로세스 통합 (KB영업점에서 받기, 외화배달로 받기)
          ※ 환전신청 시 3개의 환전 비용 사전 비교 (KB영업점에서 받기, KB영업점에서 받기(부가서비스 가입), 외화배달로 받기) 
             (각 환전별 예상금액, 환율우대율 정보 제공)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③ 비로그인 화전신청 개선
      ㅇ 비로그인일 경우, KB영업점에서 받기 버튼만 제공
============================================================================
① 환전신청 진입 페이지 개선
    ㅇ 환율 차트 제공 
    ㅇ 환율 계산기 제공
    ㅇ 상품별 이용안내 제공
② 환전신청 정보입력 페이지 기능 개선
   ㅇ 환율 차트 제공
   ㅇ 환율 계산기 제공 (계산된 금액 금액란에 적용 가능)
   ㅇ 상품별 이용안내 제공
   ㅇ 신청인 연락처 CRM 불러오기
   ㅇ 출금계좌 잔액 제공
   ㅇ 부가서비스 신청서/약관을 전자방식 징구로 개선 (여행자 보험 등)
   ㅇ 환전신청 약관 동의절차 간소화
   ㅇ KB영업점에서 받기 진행시 위치기반 정보 활용(가까운 지점검색), 고객검색 기능 개선
   ㅇ 환전신청가능 한도정보 제공 (오늘/전체)
</t>
    <phoneticPr fontId="3" type="noConversion"/>
  </si>
  <si>
    <t>맞춤환전 개선</t>
    <phoneticPr fontId="29" type="noConversion"/>
  </si>
  <si>
    <t>맞춤환전 개선
(메뉴명변경)목표환율환전</t>
    <phoneticPr fontId="29" type="noConversion"/>
  </si>
  <si>
    <t>① 환전신청 프로세스 개선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
① 목표환율환전 등록 기능 개선
     ㅇ 환율지정시 선택입력방식 추가 (예시. 현환율에서 -1% ~ -5%로 계산한 환율로 목표환율 지정)
     ㅇ 목표환율 체결시 환전 예상금액 확인 기능 추가
     ㅇ 환율 차트 제공
     ㅇ 환율 계산기 제공 (계산된 금액 금액란에 적용 가능)
     ㅇ 상품별 이용안내 제공
     ㅇ 신청인 연락처 CRM 불러오기
     ㅇ 출금계좌 잔액 제공
     ㅇ 약관동의 절차 간소화
② 목표환율환전 조회 기능 개선
     ㅇ 체결되지 않은 취소건 조회 기능 추가
     ㅇ 조회컬럼 수정 (체결유효기일 추가 등)</t>
    <phoneticPr fontId="3" type="noConversion"/>
  </si>
  <si>
    <t>선물하기 개선</t>
    <phoneticPr fontId="29" type="noConversion"/>
  </si>
  <si>
    <t>외화 선물하기 프로세스, 기능 개선</t>
    <phoneticPr fontId="29" type="noConversion"/>
  </si>
  <si>
    <t xml:space="preserve">① 환전신청 프로세스 개선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
</t>
    <phoneticPr fontId="3" type="noConversion"/>
  </si>
  <si>
    <t>20201223_UIUX(외환)_회의록_외환 1차 요구사항분석_Ver 1.0.docx
20210210_UIUX(외환)_회의록_외환 요구사항 변경_Ver 1.0.docx</t>
    <phoneticPr fontId="3" type="noConversion"/>
  </si>
  <si>
    <t>환전조회 개선</t>
    <phoneticPr fontId="29" type="noConversion"/>
  </si>
  <si>
    <t xml:space="preserve">① 환전조회/관리 메뉴 통합
      ㅇ 메뉴 통합 (환전내역조회+수령정보변경+환전 SMS 전송+환전되팔기/변경+미수령환전금액외화예금에입금(개발중))
② 환전조회관리 기능 개선
      ㅇ 조회 범위 확대 
          - 수령예정건조회/수령일미지정된보관건 + 맞춤환전체결건 조회/선물하기조회/되팔기조회/전체조회
          - 비대면 채널 환전(리브모바일지갑 포함), 영업점 환전 거래
      ㅇ 환전신청가능 한도정보 제공 (오늘/전체)
      ㅇ 외화 ATM의 위치 정보 제공 (지도 제공)
      ㅇ 미수령 환전 정보 제공 (환전시점 적용환율, 현재 환율, 등락 정보)
=============================================================================
① 거래 통합
    ㅇ통합대상: 환전조회, 환전되팔기/변경, 환전 SMS 재전송 -&gt; 환전조회/관리
    ㅇ거래통합하여 내역조회에서 되팔기, 외화예금입금, 수령정보변경, SMS재전송 등 후속거래로 연결
② 환전조회/관리 기능 개선
    ㅇ 조회 범위 확대
       - 비대면신청분 뿐만아니라 리브모바일지갑 환전건, 맞춤환전체결건, 지점환전건 포함하여 조회
    ㅇ 조회 3개탭으로 구분
      - 환전미수령내역 : 수령하지 않은 외화 내역 조회 기능 신설  
      - 외화선물내역 : 외화선물내역조회 기능 신설 
      - 전체환전내역 
    ㅇ 환전 관리 기능 추가
      - 외화예금입금 기능 추가
      - 되팔기시 되팔기수익률 제공 
      - 환전 상세내역 제공
    ㅇ 환전신청가능 한도정보 제공 (오늘/전체)
    ㅇ 외화 ATM의 위치정보 제공 (지도제공)
</t>
    <phoneticPr fontId="3" type="noConversion"/>
  </si>
  <si>
    <t>해외송금인 앞 국내 수취정보 제공 기능 신설</t>
    <phoneticPr fontId="29" type="noConversion"/>
  </si>
  <si>
    <t>BFE-50250</t>
    <phoneticPr fontId="3" type="noConversion"/>
  </si>
  <si>
    <t xml:space="preserve">① 국내 수취인이 해외로 부터 송금 받기 위해 해외 송금인에게 나의 계좌 정보 등을 전달하는 기능 (가칭 : 해외송금 수취계좌 확인서)
      ㅇ 이미지 형태의 영문계좌확인서 
      ㅇ 이미지 다운로드, 카카오톡/SMS 공유 기능 제공
      ㅇ New 스타뱅킹 : 이미지 다운로드, 이미지 공유
      ㅇ 외환 인터넷뱅킹 : 이미지 다운로드만 가능 (인터넷뱅킹 다국어 화면에서 수취계좌 진위여부 기능 제공예정)
</t>
    <phoneticPr fontId="3" type="noConversion"/>
  </si>
  <si>
    <r>
      <t xml:space="preserve">-해외송금, 국내외화이체, 웨스턴유니온 관련 송금정보 관리 메뉴
ㅇ 등록방법 : 송금거래 후 주소록에 추가 / 신규등록 / 해외수취인으로부터 받은 송금정보 등록 등
</t>
    </r>
    <r>
      <rPr>
        <sz val="9"/>
        <color rgb="FFFF0000"/>
        <rFont val="KB금융 본문체 Light"/>
        <family val="3"/>
        <charset val="129"/>
      </rPr>
      <t xml:space="preserve">- 동일요건(BFE-50170) 존재 해당 요건 삭제 </t>
    </r>
    <r>
      <rPr>
        <strike/>
        <sz val="9"/>
        <color rgb="FFFF0000"/>
        <rFont val="KB금융 본문체 Light"/>
        <family val="3"/>
        <charset val="129"/>
      </rPr>
      <t xml:space="preserve">
</t>
    </r>
    <phoneticPr fontId="3" type="noConversion"/>
  </si>
  <si>
    <t>[0420]BFE-50170요건중복으로 삭제</t>
    <phoneticPr fontId="3" type="noConversion"/>
  </si>
  <si>
    <t>20201223_UIUX(외환)_회의록_외환 1차 요구사항분석_Ver 1.0.docx
20201222_UIUX(외환)_회의록_외환 요구사항 자료수신 (중복요건 확인)_Ver 1.0.docx</t>
    <phoneticPr fontId="3" type="noConversion"/>
  </si>
  <si>
    <t>해외송금조회관리</t>
    <phoneticPr fontId="29" type="noConversion"/>
  </si>
  <si>
    <t>① 해외송금에 대한 취결 내역 제공 (바로송금, 자동예약송금, 웨스턴유니온 송금)
② 해외송금 취결 조회정보 추가 
       ㅇ 추가 정보 (변경- AMEND, 환급 - REFUND, 해외은행지급확인전문, 기타 추가정보 보내기 등</t>
    <phoneticPr fontId="3" type="noConversion"/>
  </si>
  <si>
    <t>20210114_UIUX(외환)_회의록_외환 IT협의_Ver 1.0.docx</t>
    <phoneticPr fontId="3" type="noConversion"/>
  </si>
  <si>
    <t>해외송금_받기</t>
    <phoneticPr fontId="29" type="noConversion"/>
  </si>
  <si>
    <t>BFE-50280</t>
    <phoneticPr fontId="3" type="noConversion"/>
  </si>
  <si>
    <t>해외송금 영수 사유입증 프로세스 추가</t>
    <phoneticPr fontId="3" type="noConversion"/>
  </si>
  <si>
    <t xml:space="preserve">① 해외송금 미영수 건에 대한 수취사유 입력화면 제공  (가칭. 받을 송금)
      ㅇ 업무 프로세스 
          1) 송금인이 해외은행에서 송금 -&gt; 2) 국민은행에 송금도착 / 수취인 통보 (URL등) -&gt; 3) 뉴스타뱅킹에서 수취인이 사유 직접 입력, 서류첨부 X             
          -&gt; 4) 관리점앞 쪽지 알림 전송 -&gt; 5) 관리점에서 사유 검토 후 추가 확인이 필요한 경우 재통보
          ※ 영수확인서 전자방식 작성, 079 관련 거래 등
② 받은 송금 내역 조회
      ㅇ 현재 지급완료건만 조회 / 미지급건도 조회되도록 개선
</t>
    <phoneticPr fontId="3" type="noConversion"/>
  </si>
  <si>
    <t>20201223_UIUX(외환)_회의록_외환 1차 요구사항분석_Ver 1.0.docx
20201230_UIUX(외환)_회의록_외환 2차 요구사항분석_Ver 1.0.docx
20210210_UIUX(외환)_회의록_외환 요구사항 변경_Ver 1.0.docx
20210217_UIUX(외환)_회의록_외환 IT협의_Ver 1.0.docx</t>
    <phoneticPr fontId="3" type="noConversion"/>
  </si>
  <si>
    <t>당/타행외화이체/외화예금입출금 통합</t>
    <phoneticPr fontId="29" type="noConversion"/>
  </si>
  <si>
    <t>국내외화이체 통합 (당/타행외화이체, 외화예금입출금)</t>
    <phoneticPr fontId="3" type="noConversion"/>
  </si>
  <si>
    <t>① 국내외화이체 통합 (당/타행외화이체, 외화예금입출금)
      ㅇ 원화 이체 거래처럼 은행명 + 은행 로고 선택 후 거래 진행
      ㅇ 당행 선택 시 : 외화예금 입출금 (TO-BE) 입력 영역 제공
      ㅇ 타행 선택 시 : 타행 외화이체 입력 영역 제공
② 국내외화이체 입력 항목 간소화 
      ㅇ 수취은행지점명 등 불필요한 항목 삭제
      ㅇ 금결원/SWIFT 선택 입력부 간소화</t>
    <phoneticPr fontId="3" type="noConversion"/>
  </si>
  <si>
    <t>국내외화이체조회</t>
    <phoneticPr fontId="29" type="noConversion"/>
  </si>
  <si>
    <t>① 당행/타행 외화송금내역 모두 조회 
      ※ 현재 타행 외화송금 내역만 조회 가능
② 당행/타행 보낸송금내역, 받은송금내역 모두 조회 제공</t>
    <phoneticPr fontId="3" type="noConversion"/>
  </si>
  <si>
    <t>- 코어뱅킹1플랫폼부
- 코어뱅킹2플랫폼부</t>
    <phoneticPr fontId="3" type="noConversion"/>
  </si>
  <si>
    <t>- 주업무 송혜경 과장
- 서브 진효정 대리</t>
    <phoneticPr fontId="3" type="noConversion"/>
  </si>
  <si>
    <t>- 외환업무 추가
- 회의시 현업 반드시 참석 필요함</t>
    <phoneticPr fontId="3" type="noConversion"/>
  </si>
  <si>
    <t>월드종합서비스 ‘비대면 약정제도’신설</t>
    <phoneticPr fontId="29" type="noConversion"/>
  </si>
  <si>
    <t>BFE-50310</t>
    <phoneticPr fontId="3" type="noConversion"/>
  </si>
  <si>
    <r>
      <rPr>
        <strike/>
        <sz val="9"/>
        <color rgb="FFFF0000"/>
        <rFont val="KB금융 본문체 Light"/>
        <family val="3"/>
        <charset val="129"/>
      </rPr>
      <t>① 뉴스타뱅킹내 월드종합서비스 ‘비대면 약정‘ 기능 신설
      ㅇ 업무 프로세스 :            
          1) 로그인 X -&gt; 2) 비대면 본인확인 -&gt; 3) 월드종합서비스약정서 입력(거래외국환 지정) &gt; 4) 신분증 파일 업로드
          &gt; 5) 외환 Plaza에서 심사 및 약정등록 (심사/약정 스마트상담부)
      ㅇ 메뉴 위치변경           
          기존) 금융서비스 &gt; 월드종합서비스 
          변경) 외환 &gt; MY외환
      ㅇ 인터넷뱅킹과 연동 필요 
          ※ 참고 : 월드종합서비스 개요 
           - 의의: 월드종합서비스 약정고객 대상 외환Plaza전담직원이 비대면 채널(전화/Fax/당행 홈페이지)을 통해 각종 금융서비스 제공
           - 약정방법: 대면 약정(국내 영업점 내점-전 영업점 가능)
           - 제출서류: 월드종합서비스신청서/여권/해외거주확인서류(영주권 등)
           - 필수 기재사항(고객 직접 기재)
             ∙ 기본계좌(원화 및 외화) 지정
             ∙ 각종 정보사항 (성명/국가명/국내.외주소/국내외연락처/E-mail/해외계좌번호/신청인란 서명 등)</t>
    </r>
    <r>
      <rPr>
        <sz val="9"/>
        <color rgb="FFFF0000"/>
        <rFont val="KB금융 본문체 Light"/>
        <family val="3"/>
        <charset val="129"/>
      </rPr>
      <t xml:space="preserve">
-&gt; 요건 삭제 
</t>
    </r>
    <phoneticPr fontId="29" type="noConversion"/>
  </si>
  <si>
    <t>스마트상담부</t>
    <phoneticPr fontId="29" type="noConversion"/>
  </si>
  <si>
    <t>20210115_UIUX(외환)_회의록_외환 요구사항 삭제 (월드종합서비스)_Ver 1.0.docx</t>
    <phoneticPr fontId="3" type="noConversion"/>
  </si>
  <si>
    <t>월드종합서비스</t>
    <phoneticPr fontId="29" type="noConversion"/>
  </si>
  <si>
    <t>BFE-50320</t>
    <phoneticPr fontId="3" type="noConversion"/>
  </si>
  <si>
    <t>월드종합서비스 개선</t>
    <phoneticPr fontId="3" type="noConversion"/>
  </si>
  <si>
    <r>
      <rPr>
        <strike/>
        <sz val="9"/>
        <color rgb="FFFF0000"/>
        <rFont val="KB금융 본문체 Light"/>
        <family val="3"/>
        <charset val="129"/>
      </rPr>
      <t>① 월드종합서비스 메뉴 재정렬
      ㅇ 메뉴 위치변경           기존) 금융서비스 &gt; 월드종합서비스 
          변경) 외환 &gt; MY외환</t>
    </r>
    <r>
      <rPr>
        <sz val="9"/>
        <color rgb="FFFF0000"/>
        <rFont val="KB금융 본문체 Light"/>
        <family val="3"/>
        <charset val="129"/>
      </rPr>
      <t xml:space="preserve">
 -&gt; 요건 삭제 / Biz-135 요건과 중복
</t>
    </r>
    <phoneticPr fontId="3" type="noConversion"/>
  </si>
  <si>
    <t>20201223_UIUX(외환)_회의록_외환 1차 요구사항분석_Ver 1.0.docx
20201230_UIUX(외환)_회의록_외환 2차 요구사항분석_Ver 1.0.docx
20210115_UIUX(외환)_회의록_외환 요구사항 삭제 (월드종합서비스)_Ver 1.0.docx</t>
    <phoneticPr fontId="3" type="noConversion"/>
  </si>
  <si>
    <t>데이터 수집범위</t>
    <phoneticPr fontId="29" type="noConversion"/>
  </si>
  <si>
    <t>삭제</t>
    <phoneticPr fontId="3" type="noConversion"/>
  </si>
  <si>
    <t>BFE-61000</t>
    <phoneticPr fontId="3" type="noConversion"/>
  </si>
  <si>
    <t>- 마이데이터 API 연계에 기반한 데이터 수집 및 정보제공
  ㅇ 마이데이터 API 연계 미흡시 당행/오픈뱅킹 API, 마이머니, 계열사 연계
※ 향후 시장 상황에 따라 데이터 수집방식 변경 가능</t>
    <phoneticPr fontId="29" type="noConversion"/>
  </si>
  <si>
    <t>거부-통폐합</t>
    <phoneticPr fontId="3" type="noConversion"/>
  </si>
  <si>
    <t>20210226_UXUI(자산관리)_회의록_요구사항분석_신규요건-등록_기존요건-거부통폐합_ver1.0.docx</t>
    <phoneticPr fontId="3" type="noConversion"/>
  </si>
  <si>
    <t>박준규</t>
    <phoneticPr fontId="3" type="noConversion"/>
  </si>
  <si>
    <t>자산관리</t>
    <phoneticPr fontId="3" type="noConversion"/>
  </si>
  <si>
    <t>Y</t>
    <phoneticPr fontId="3" type="noConversion"/>
  </si>
  <si>
    <t>마이데이터플랫폼단
데이터분석플랫폼부</t>
    <phoneticPr fontId="3" type="noConversion"/>
  </si>
  <si>
    <t>마영신 차장</t>
    <phoneticPr fontId="3" type="noConversion"/>
  </si>
  <si>
    <t>Biz-108</t>
    <phoneticPr fontId="3" type="noConversion"/>
  </si>
  <si>
    <t>고객기준 금융정보 제공</t>
    <phoneticPr fontId="29" type="noConversion"/>
  </si>
  <si>
    <t>BFE-61010</t>
    <phoneticPr fontId="3" type="noConversion"/>
  </si>
  <si>
    <r>
      <t xml:space="preserve">- 고객기준 금융정보 조회 신설
    ex. 고객 거래내역 data조회(Timeline별 거래내역 조회, 자동이체등록내역 통합조회, 제신고 필요여부(비밀번호 오류 해제, OTP 사고신고 해제) 등)
</t>
    </r>
    <r>
      <rPr>
        <strike/>
        <sz val="9"/>
        <color rgb="FFFF0000"/>
        <rFont val="KB금융 본문체 Light"/>
        <family val="3"/>
        <charset val="129"/>
      </rPr>
      <t>※ 아키텍쳐, IT상품개발부, IT서비스개발부, 정보개발부 협의 필요</t>
    </r>
    <phoneticPr fontId="29" type="noConversion"/>
  </si>
  <si>
    <t>자산관리 메인</t>
    <phoneticPr fontId="29" type="noConversion"/>
  </si>
  <si>
    <t>BFE-61020</t>
    <phoneticPr fontId="3" type="noConversion"/>
  </si>
  <si>
    <t>- 케이봇쌤 + 보유 현황 및 진단 + 전문가 금융상담 으로 구성
  ㅇ 케이봇쌤 : 케이봇쌤 수익률 분석
     · Case1. 케이봇쌤 가입 펀드고객의 경우 포트폴리오 알림 (예: 전체, 거래진행중, 리밸런싱 등) : 現 케이봇쌤 설계&gt; 포트폴리오 알림 준용
     · Case 1-1. 타행 펀드 보유고객: 케이봇쌤과 수익률 비교 (마이데이터 API 활용) : 단, 케이봇쌤 수익률이 높을 경우만 노출 
     · Case 2. 펀드미보유 고객은 포트폴리오 설계영역 노출 (세부요건 추후 논의)
  ㅇ 보유 현황 및 진단 : 자산/지출/미래 → 보유현황, 진단, 리포트(AI/Weekly/ Monthly), 생활형 금융 콘텐츠 (대출우대금리, 통신요금 등) 
     · 마이데이터 제공콘텐츠 범위에 따라 요건 변경예정
  ㅇ 전문가 금융정보 제공 (cloud영역)
     · 게시판 제공 : 동영상, 게시글, 첨부파일 제공
     · 카테고리 (리포트 주제 관련 세부내용 변경 가능) : 소액자금, 목돈마련, 부동산, 세무, 포트폴리오 등
     · 당행 모든 리포트 집합 (리브온, WM, 골든라이프, 마이딜링룸 링크 연계)
※ 상세요건 추후 변경 가능</t>
    <phoneticPr fontId="29" type="noConversion"/>
  </si>
  <si>
    <t>자산관리 구성항목</t>
    <phoneticPr fontId="29" type="noConversion"/>
  </si>
  <si>
    <t>BFE-61030</t>
    <phoneticPr fontId="3" type="noConversion"/>
  </si>
  <si>
    <t>- 공통
  ㅇ 데이터 노출 순위 → 1순위: 마이데이터 API, 2순위: 당행(오픈뱅킹 포함)
  ㅇ 데이터 연동은 실시간 적용가능 데이터를 우선하여 적용
  ㅇ 모든 데이터는 타행 포함 (타행데이터 없을경우 당행만 표출)
  ㅇ 마이데이터 제공 콘텐츠와 동일한 값이 나오며, 마이데이터 플랫폼과 연계
- 자산
  ㅇ 내 자산 현황 : 그래프 + 현황제시 
  ㅇ 입출금/예적금/신탁/펀드/보험/대출별 보유 상품수와 총액, 기관 수 등
  ㅇ 진단: 마이머니 진단 분석 로직 활용(알고리즘)
  ※ 마이데이터와 스크래핑 데이터 항목 추후 점검 필요(마이데이터 범위 미정)
- 지출
  ㅇ 내 지출 현황 : 그래프 + 현황제시 
  ㅇ 신용/체크카드/이체(출금) 항목별 총 지출금액/비율/기관 수 등
  ㅇ 진단: 마이머니 진단 분석 로직 활용(알고리즘)
- 미래
  ㅇ 내 미래 현황 : 그래프 + 현황제시 
  ㅇ 국민연금/퇴직연금/개인연금 (*연금 3종세트 모두 제시 필요)
  ㅇ 진단: 마이머니 진단 분석 로직 활용(알고리즘)
     · 연금 분석 고도화(납입/수령 연령 등 반영) 
     (예) 연금계산기, My연금 페이지 등 데이터 + 금감원 연금포털 연계)
     · Default 값(연금포털에서 못 가져올 경우 대비) 표출 로직 재검토 (現: 설문조사 데이터 활용)
  ㅇ 은퇴설계, My연금, 골든라이트 관련 유입경로 통합 제공
- 나의 리포트
  ㅇ 월간/ 주간/ AI 
  ㅇ 월간, 주간: 마이머니 리포트 로직 활용 
  ㅇ AI: WM그룹 자산운용 Digitalization 모듈 활용 (현재 WM그룹 진행중)
- 생활속 자산관리</t>
    <phoneticPr fontId="29" type="noConversion"/>
  </si>
  <si>
    <t>생활속 자산관리</t>
    <phoneticPr fontId="29" type="noConversion"/>
  </si>
  <si>
    <t>BFE-61040</t>
    <phoneticPr fontId="3" type="noConversion"/>
  </si>
  <si>
    <t>- 마이데이터 구축시 관련부서와 해당 관련 콘텐츠 요건 협의 필요
- 예적금 만기이자 
  ㅇ D-30 일 부터 해당계좌의 원금/만기이자 표시 (마이머니 로직 참조)
- 대출우대금리
  ㅇ 당행 대출 상품의 우대금리 충족 조건 표시/예상 우대금리 표시
     · 카드사 혜택 실적금액 표시같이 한 눈에 볼수 있는 화면
  ㅇ 당행 모든 보유상품 표시
  ㅇ 단, 우대금리 없는 상품의 경우 미노출 
     ※ 마이스타[04-20-088] 가계대출 실적우대금리 상세조회  정보 기준 참조
- 환율픽 (환율픽 연계를 위한 별도 페이지 신설) 
  ㅇ 환율픽 사용자에 한해 환율픽 페이지 data 요약 제공, 환율픽 연계 버튼 제공
- 소득 관련 
  ㅇ 급여추이/시간당 내 급여 비교 차트화
  ㅇ 급여추이 : 급여이체자 기준 월간 추이 현황 표시
  ㅇ 동일 연령대별 시간당 급여와 평균 비교하기 data 제시 (당행 급여이체자 데이터 활용/ 월 배치)
- 통신비
  ㅇ 카드 승인내역/요구불통장 자동이체 내역 중 통신비 사용추이 차트화 표시 및 Liiv M과 비용 비교
  ㅇ 마이스타[04-76-006] 센터컷 처리결과 상세조회 구분값:12-지로 데이터
  ㅇ 기관코드/기관명/이체금액/처리년월일 (3개월 데이터) 테이블 신규 + 어드민 관리 필요 (신규화면)
- 관리비/공과금
  ㅇ 마이스타[04-76-006] 센터컷 처리결과 상세조회 '구분값:03-아파트관리비' '12-지로' 등 
  ㅇ 카드/자동이체/요구불 거래내역 기반 관리비 및 공과금 추이 차트화 표시
- 은행원이 가입한 펀드 TOP3
  ㅇ 은행원이 한달 이내 가입한 펀드 Top3 표시(월배치)
- 청약 관련
  ㅇ 본인의 청약통장(타행) 유무에 따라서 구분 (有-계산기, 無-통장가입유도)
  ㅇ 리브온 청약가점계산기 참조
- 택시/식비/커피 소비량 도식화
  ㅇ 마이머니 소비 카테고리 로직 참조
  ㅇ 카드 중 택시/식비/커피에 대한 년간/월별 data</t>
    <phoneticPr fontId="29" type="noConversion"/>
  </si>
  <si>
    <t>카드정보</t>
    <phoneticPr fontId="29" type="noConversion"/>
  </si>
  <si>
    <t>BFE-61050</t>
    <phoneticPr fontId="3" type="noConversion"/>
  </si>
  <si>
    <t>카드정보 표시 추가</t>
    <phoneticPr fontId="29" type="noConversion"/>
  </si>
  <si>
    <r>
      <rPr>
        <strike/>
        <sz val="9"/>
        <color theme="1"/>
        <rFont val="KB금융 본문체 Light"/>
        <family val="3"/>
        <charset val="129"/>
      </rPr>
      <t>- 해당 계좌에 연결된 KB국민카드 정보* 표시
  ㅇ 해당 계좌를 결제 계좌로 사용하는 경우
  ㅇ 해당 계좌를 현금 인출 계좌로 사용하는 경우
    * 카드 정보 : 카드번호, 카드명, 카드 사진 → 상세 내용 확인은 국민카드 앱 호출</t>
    </r>
    <r>
      <rPr>
        <sz val="9"/>
        <color theme="1"/>
        <rFont val="KB금융 본문체 Light"/>
        <family val="3"/>
        <charset val="129"/>
      </rPr>
      <t xml:space="preserve">
'- 전계좌조회 시 국민카드 신용(교통) 결제계좌에 아이콘으로 쉽게 식별할 수 있게 표시(카드사 API 기반 실시간 표시)
- 금융그룹 내 KB카드 탭에서 연결계좌 정보 노출
</t>
    </r>
    <r>
      <rPr>
        <strike/>
        <sz val="9"/>
        <color theme="1"/>
        <rFont val="KB금융 본문체 Light"/>
        <family val="3"/>
        <charset val="129"/>
      </rPr>
      <t>※ 1단계 : kb국민카드 기준 -&gt; 2단계 : 오픈뱅킹 카드사확대 or 마이데이터 기반으로 타 카드사 포함</t>
    </r>
    <r>
      <rPr>
        <b/>
        <sz val="9"/>
        <color theme="1"/>
        <rFont val="KB금융 본문체 Light"/>
        <family val="3"/>
        <charset val="129"/>
      </rPr>
      <t xml:space="preserve">
→ [0218] 오픈뱅킹 카드사 확대 시 데이터 확인 후 적용
</t>
    </r>
    <phoneticPr fontId="29" type="noConversion"/>
  </si>
  <si>
    <t>20210218_UXUI(조회)_회의록_카드정보 요건변경_요구사항분석_ver1.0.docx</t>
    <phoneticPr fontId="3" type="noConversion"/>
  </si>
  <si>
    <t>문지민</t>
    <phoneticPr fontId="3" type="noConversion"/>
  </si>
  <si>
    <t>조회</t>
    <phoneticPr fontId="3" type="noConversion"/>
  </si>
  <si>
    <t>금융캘린더 기능 제공</t>
    <phoneticPr fontId="29" type="noConversion"/>
  </si>
  <si>
    <t>BFE-61060</t>
    <phoneticPr fontId="3" type="noConversion"/>
  </si>
  <si>
    <r>
      <rPr>
        <strike/>
        <sz val="9"/>
        <color rgb="FFFF0000"/>
        <rFont val="KB금융 본문체 Light"/>
        <family val="3"/>
        <charset val="129"/>
      </rPr>
      <t>- 상단: 월별 주요 이벤트 텍스트로 노출 (텍스트 선택시, 상세 내역이 중단에 표출)
  ㅇ 연말정산 관련 안내
     · 미가입고객: 연말정산 일정 및 연말정산 세액공제 상품 추천 (IRP, 청약, 연금저축펀드 등) → 연말정산 관련 상품만 모아놓은 브릿지페이지 (신설)로 연결
     · 기가입고객: 추가납입안내 (최대 한도, 인정 기간)→ 해당계좌 추가납입 화면으로 연결
  ㅇ 세금납부 기한 (종합소득세, 자동차세, 부가가치세 등) 
  ㅇ 맞춤형 공과금 납부 제시</t>
    </r>
    <r>
      <rPr>
        <sz val="9"/>
        <color rgb="FFFF0000"/>
        <rFont val="KB금융 본문체 Light"/>
        <family val="3"/>
        <charset val="129"/>
      </rPr>
      <t xml:space="preserve">
- 캘린더 영역: 캘린더 영역 &amp; 상단의 상세내역 (구간그래프)
  ㅇ 상품 만기일: 예적금 상품 만기일자 표기 (기존 Push 제공)
</t>
    </r>
    <r>
      <rPr>
        <strike/>
        <sz val="9"/>
        <color rgb="FFFF0000"/>
        <rFont val="KB금융 본문체 Light"/>
        <family val="3"/>
        <charset val="129"/>
      </rPr>
      <t xml:space="preserve">  ㅇ ELS 조기상환도래 예정일 : 조기상환 기준 및 현재 비교 연결
  ㅇ 펀드 기준가격적용 &amp; 환매 입금일
  ㅇ 생일/기념일(캘린더 내 아이콘 표시) : 고객 CRM 기준</t>
    </r>
    <r>
      <rPr>
        <sz val="9"/>
        <color rgb="FFFF0000"/>
        <rFont val="KB금융 본문체 Light"/>
        <family val="3"/>
        <charset val="129"/>
      </rPr>
      <t xml:space="preserve">
  ㅇ 대출 이자 납일일: 납입일자 표시(당일) (기존 Push 제공)
  ㅇ 자동이체 예정일 안내 : 수신계좌(예적금/펀드), 당타행 계좌간, 지로/CMS/펌뱅킹 등 (기존 Push 제공)
</t>
    </r>
    <r>
      <rPr>
        <strike/>
        <sz val="9"/>
        <color rgb="FFFF0000"/>
        <rFont val="KB금융 본문체 Light"/>
        <family val="3"/>
        <charset val="129"/>
      </rPr>
      <t xml:space="preserve">  ㅇ 예약이체 예정일 안내: 예약이체 상세내용(금액, 거래일시, 받는분 정보 노출)
  ㅇ 장기미사용 이체제한 예정일, ATM한도 축소예정일(해제시 자동삭제)</t>
    </r>
    <r>
      <rPr>
        <sz val="9"/>
        <color rgb="FFFF0000"/>
        <rFont val="KB금융 본문체 Light"/>
        <family val="3"/>
        <charset val="129"/>
      </rPr>
      <t xml:space="preserve">
  ㅇ 수기 기일관리 등록 기능 제공 및 등록 내역 알림 기능 제공
- 하단: 일자 선택에 따른 캘린더 상세내역  (*신한쏠 참고)
※ 화면전환 최소화 </t>
    </r>
    <r>
      <rPr>
        <strike/>
        <sz val="9"/>
        <color rgb="FFFF0000"/>
        <rFont val="KB금융 본문체 Light"/>
        <family val="3"/>
        <charset val="129"/>
      </rPr>
      <t>처럼</t>
    </r>
    <r>
      <rPr>
        <sz val="9"/>
        <color rgb="FFFF0000"/>
        <rFont val="KB금융 본문체 Light"/>
        <family val="3"/>
        <charset val="129"/>
      </rPr>
      <t xml:space="preserve"> UX/UI 설계필요
※ 마이데이터 API 반영가능시 타행 정보 포함 (보유상품 정보)
※ 입출금 거래내역은 미포함
</t>
    </r>
    <phoneticPr fontId="29" type="noConversion"/>
  </si>
  <si>
    <t>대출이자 관련 여신업무 추가</t>
    <phoneticPr fontId="3" type="noConversion"/>
  </si>
  <si>
    <t>라떼연금 프로세스 간소화</t>
    <phoneticPr fontId="29" type="noConversion"/>
  </si>
  <si>
    <t>BFE-61070</t>
    <phoneticPr fontId="3" type="noConversion"/>
  </si>
  <si>
    <t>- 연금펀드 통합신규 화면 진입 : 보유 여부에 따라 신규계좌 유형 분기 제시
  ㅇ 연금펀드 미보유고객 : 모계좌 신규 메뉴만 활성화
  ㅇ 연금펀드 기보유 고객 : 모계좌 신규 &amp; 자계좌 추가 메뉴 모두 활성화
- 연금펀드계좌(모계좌) 상품선택
  ㅇ KB골든라이프 VS 라떼연금 상품비교 버튼 및 팝업 제시
- 운용펀드(자계좌) 추가 
  ㅇ 모계좌 선택상품 제시 및 자계좌 상품 선택 시 최근 투자성향 반영한 상품 우선 표출
  ㅇ 전 단계 선택 상품 제시 : 이전단계에서 선택한 모계좌/MMF 상품명 표시
  ㅇ 운용펀드(자계좌) 상품 선택 : 최근 투자성향에 따른 상품을 최근 3개월 수익률 순 6건 우선 표출 (단, 최근 투자성향 없는 경우, 전체 위험등급 상품 중 최근 3개월 수익률 순 제시)
      ※ 제시 수익률은 최근 3개월만 제시
- 계좌정보 입력 
  ㅇ KB카드 연계자동적립서비스 등록’ 관련하여 정보 입력/유의사항 안내 및 각종 동의 화면으로 분산되어 있던 것을 정보 입력 화면으로 통합
- 안내사항 통합확인 
  ㅇ 투자설명서, 약관, 투자자확인사항 통합 동의 -&gt; 스크롤 최소화 지향
- 정보확인 및 운용비율 등록
  ㅇ 신규완료 후 선택사항이었던 '운용비율 등록'을 정보확인 단계에서 입력
- 전자서명 : 기존과 동일
- 완료 : '라떼연금 전용화면'/'연금펀드 입금' 화면 이동 버튼 제공</t>
    <phoneticPr fontId="29" type="noConversion"/>
  </si>
  <si>
    <t>연금기획부</t>
    <phoneticPr fontId="29" type="noConversion"/>
  </si>
  <si>
    <t>20201224_UIUX(금융서비스.라떼연금)_회의록_1차 요구사항분석_ver1.0.docx</t>
    <phoneticPr fontId="3" type="noConversion"/>
  </si>
  <si>
    <t>김효은</t>
    <phoneticPr fontId="3" type="noConversion"/>
  </si>
  <si>
    <t>펀드</t>
    <phoneticPr fontId="3" type="noConversion"/>
  </si>
  <si>
    <t xml:space="preserve"> 채승훈 차장</t>
    <phoneticPr fontId="3" type="noConversion"/>
  </si>
  <si>
    <t>이근준 차장</t>
    <phoneticPr fontId="3" type="noConversion"/>
  </si>
  <si>
    <t>BFE-61080</t>
    <phoneticPr fontId="3" type="noConversion"/>
  </si>
  <si>
    <t>라떼연금펀드 전용화면 개편</t>
    <phoneticPr fontId="29" type="noConversion"/>
  </si>
  <si>
    <t>- 전용화면 메뉴통합 
  ㅇ연금펀드 카테고리 內 라떼연금 관련 3개화면을 전용화면 1개로 통합
  ㅇ라떼연금 정보조회, 라떼연금 아이콘 입금/관리, 라떼연금 KB카드연계 자동적립관리 -&gt; 라떼연금 전용화면
     · 기존 메뉴는 전용화면 내 탭으로 통합 및 재구성   
- 라떼연금펀드 전용화면 접속경로 개선 
  ㅇ 전계좌조회 시 전용화면 메뉴 추가 &amp; 펀드계좌 상세조회 시 연결메뉴 추가</t>
    <phoneticPr fontId="29" type="noConversion"/>
  </si>
  <si>
    <t>연금기획부</t>
    <phoneticPr fontId="3" type="noConversion"/>
  </si>
  <si>
    <t>메인</t>
    <phoneticPr fontId="29" type="noConversion"/>
  </si>
  <si>
    <t>상품몰 메인</t>
    <phoneticPr fontId="29" type="noConversion"/>
  </si>
  <si>
    <t>- 상단
  ㅇ 마케팅Hub기반 상품노출 : The-K 맞춤형 상품로직 + 데이터분석부 전행 상품추천체계 로직 준용
  ㅇ 보유상품 기반 혜택비교
     · 상품데이터: 당·타행 보유상품 대비 다른 상품 비교 추천 (금리/수익률 비교는 마이데이터 활용)  
     · 요구불 : 수수료 혜택 비교해 당행 상품의 전환/신규 추천
        ex. 종합통장 보유고객의 경우 One통장 또는 마이핏 전환 추천(미보유 고객만)
     · 예적금 : 당·타행 예적금 만기도래 1개월 전 금리 높은 상품과 비교 제시 
     · 펀드 : 타행 펀드상품 VS 케이봇쌤 수익률 비교 (케이봇쌤 수익률 높은 경우만 표출)
     · 대출 : 1. 타행 금리 비교 신용대출 대환 안내(당행 상품 금리가 낮을때), 2. 무보증대출 약속드림론 가망고객 대상_(여신상품부) 상품 표출, 3. 매직카대출
     · 연금 : 1. 세액공제용 연금상품(연금저축/연금보험/IRP) 미보유  2. 타행 IRP보유고객의 경우 계좌이체 신청안내 광고
  ㅇ '상품 동영상 재생 기능 제공' 및 '추천이유'(전행상품추천체계 반영) 표시
- 중단
  ㅇ O2O연계 및 가입상품 이어하기 (현재 로직+ K프로젝트 완료 후 비대면 가입중단상품 연계)
- 하단: 현재와 동일한 상품탐색영역
----------------------
[0208] 상단에 개인화 된 추천상품 제공.(D-2 데이터 기준)
- 기초 데이터가 없는 초기가입자는 데이터분석부에서 default 상품 제공. 
- 비로그인 case 는 admin 에서 지정하는 상품 제공
[0208] 보유상품 기반 혜택 비교 : 데이터 분석부에서 상품 분석 결과에 포함하여 제공.
[0208] 상품동영상 재생 기능 제공 : 개인화 된 추천상품에 동영상이 있을 경우 동영상 재생. 
- 외부링크가 아닌 스타뱅킹 in app 형태로 동영상 제공.
- 동영상은 1)상품몰메인의 추천상품 영역, 2)상품 상세 페이지 에서 제공.(동영상이 admin에 등록되어 있는 상품만 제공)
[0208] O2O연계 : 단말에서 상담중인 상품을 스타뱅킹에 노출.(기존 기능 유지)
[0208] 상품 다양성 측면에서 테마상품 제공</t>
    <phoneticPr fontId="29" type="noConversion"/>
  </si>
  <si>
    <t>20201228_UIUX(상품라운지)_회의록_2차 요구사항분석_ver1.0.docx</t>
    <phoneticPr fontId="3" type="noConversion"/>
  </si>
  <si>
    <t>'-담당자확인필요
- 진명규 차장 
펀드-채승훈 차장
수신-왕동현 차장</t>
    <phoneticPr fontId="3" type="noConversion"/>
  </si>
  <si>
    <t>코어뱅킹2플랫폼부 담당자 미정(회의시 진명규 차장 참석 예정)</t>
    <phoneticPr fontId="3" type="noConversion"/>
  </si>
  <si>
    <t>권희영 차장/조영빈 대리</t>
    <phoneticPr fontId="3" type="noConversion"/>
  </si>
  <si>
    <t>상품별 Sub 메인 신설</t>
    <phoneticPr fontId="29" type="noConversion"/>
  </si>
  <si>
    <r>
      <t xml:space="preserve">- 상품별 통일성 있는 영역별 Sub메인 신설
  ㅇ 예적금, 펀드, 대출, 연금, 신탁·ISA, 보험
</t>
    </r>
    <r>
      <rPr>
        <b/>
        <sz val="9"/>
        <color theme="1"/>
        <rFont val="KB금융 본문체 Light"/>
        <family val="3"/>
        <charset val="129"/>
      </rPr>
      <t xml:space="preserve">
</t>
    </r>
    <r>
      <rPr>
        <b/>
        <sz val="9"/>
        <color rgb="FF00B0F0"/>
        <rFont val="KB금융 본문체 Light"/>
        <family val="3"/>
        <charset val="129"/>
      </rPr>
      <t>[0210] 서브메인에서 신규까지 페이지 슬림화 진행.
[0210] 기본 타입(ex. 예적금)과 그외 케이스(ex.펀드, 보험)를 구분하여 상품별 일관성 있는 UI 적용.
[0210] 서브메인에도 개인화 추천상품(1개) 노출. 상품 부서별로 수요 조사 진행하여 추천니즈 없는 상품 정리 필요.
[0210] 서브메인 상단에는 카테고리 메뉴를 고정으로 제공.</t>
    </r>
    <phoneticPr fontId="29" type="noConversion"/>
  </si>
  <si>
    <t>상품가입</t>
    <phoneticPr fontId="29" type="noConversion"/>
  </si>
  <si>
    <t>상품가입 케이봇쌤 적용 확대 및 임시저장 확대</t>
    <phoneticPr fontId="29" type="noConversion"/>
  </si>
  <si>
    <r>
      <t>- 케이봇쌤 結合 (AI로보어드바이저)
  ㅇ 케이봇쌤을 통합하여 전 상품 진단 및 추천 로직 체계 구축
   ·  운용대상 금액에 대해 예적금 대 펀드투자 비율 설정해 일괄신규 진행 프로세스 구축</t>
    </r>
    <r>
      <rPr>
        <strike/>
        <sz val="9"/>
        <color theme="1"/>
        <rFont val="KB금융 본문체 Light"/>
        <family val="3"/>
        <charset val="129"/>
      </rPr>
      <t xml:space="preserve"> : 펀드 신규 부분은 케이봇쌤 포트폴리오 활용 </t>
    </r>
    <r>
      <rPr>
        <sz val="9"/>
        <color theme="1"/>
        <rFont val="KB금융 본문체 Light"/>
        <family val="3"/>
        <charset val="129"/>
      </rPr>
      <t xml:space="preserve">
   </t>
    </r>
    <r>
      <rPr>
        <strike/>
        <sz val="9"/>
        <color theme="1"/>
        <rFont val="KB금융 본문체 Light"/>
        <family val="3"/>
        <charset val="129"/>
      </rPr>
      <t>·  예적금 비율 설정은 고객의 선택사항으로 제시(중도변경가능)</t>
    </r>
    <r>
      <rPr>
        <sz val="9"/>
        <color theme="1"/>
        <rFont val="KB금융 본문체 Light"/>
        <family val="3"/>
        <charset val="129"/>
      </rPr>
      <t xml:space="preserve">
- 임시저장 확대
  ㅇ 상품 신규 진행시, 중도 이탈(고객 선택 or 시스템 오류)에 따른 임시 정보 저장 및 불러오기
  ㅇ 대상 : 외환, IRP 영역으로 확대 
  ㅇ 구분
     · 고객 선택으로 인한 이탈시(임시 저장 의사 확인 후 저장 처리)
     · 시스템 오류로 인한 이탈시(최종 캐시정보 저장, 재접근시 이력노출)
  ㅇ 임시저장 후 알림화면 내 안내
  ㅇ 상품별 임시 저장 방식 통일
--------------------------------------------
AI포트폴리오 구성 별도 개발 사항 확인 필요
</t>
    </r>
    <r>
      <rPr>
        <b/>
        <sz val="9"/>
        <color theme="1"/>
        <rFont val="KB금융 본문체 Light"/>
        <family val="3"/>
        <charset val="129"/>
      </rPr>
      <t>[0208] 케이봇쌤 전상품 진단 요건에 예적금 포함여부는 별도 진행중인 프로젝트에서 확인 필요.
[0210] 포트폴리오 설계 결과에 예적금이 포함되는 경우 펀드와 예적금 통합 가입 프로세스 제공 필요.
[0210] 통합 신규 프로세스는 기존 통합 신규와 일관성 있는 UI 로 제공해야 함.
[0210] 상품별 임시저장 관련 메시지는 일관된 문구 등 UI 공통 가이드 작업 진행. 
[0210] 임시저장 된 후 노티 필요 : 홈화면, 마이페이지, 상품몰메인에서 알림 제공.
[0210] 임시저장 된 해당 상품상세 페이지에도 강조된 형태의 알림 제공해야 함. 상세 UI 설계시 반영.</t>
    </r>
    <phoneticPr fontId="29" type="noConversion"/>
  </si>
  <si>
    <t>이근준 차장/마영신 차장</t>
    <phoneticPr fontId="3" type="noConversion"/>
  </si>
  <si>
    <t>장바구니 기능 개선</t>
    <phoneticPr fontId="29" type="noConversion"/>
  </si>
  <si>
    <t>장바구니 기능 및 UX개선</t>
    <phoneticPr fontId="29" type="noConversion"/>
  </si>
  <si>
    <r>
      <t xml:space="preserve">- 영업점 연계
  ㅇ 장바구니에 담긴 상품 영업점 알리미에 노출 
     · ex. 단말 싱글뷰에 통합으로 조회 가능하도록 구성
</t>
    </r>
    <r>
      <rPr>
        <strike/>
        <sz val="9"/>
        <color theme="1"/>
        <rFont val="KB금융 본문체 Light"/>
        <family val="3"/>
        <charset val="129"/>
      </rPr>
      <t>- 펀드 수익률 노출
  ㅇ 장바구니에 상품 담길 경우 예상수익률 안내
     · 예상수익률 로직: (자산관리# &gt; Play asset# &gt; Mypick )
------------------------------------------</t>
    </r>
    <r>
      <rPr>
        <b/>
        <strike/>
        <sz val="9"/>
        <color theme="1"/>
        <rFont val="KB금융 본문체 Light"/>
        <family val="3"/>
        <charset val="129"/>
      </rPr>
      <t xml:space="preserve">
</t>
    </r>
    <r>
      <rPr>
        <b/>
        <sz val="9"/>
        <color theme="1"/>
        <rFont val="KB금융 본문체 Light"/>
        <family val="3"/>
        <charset val="129"/>
      </rPr>
      <t>[0210] The K프로젝트 개발로, 영업점에서 장바구니에 있는 상품 확인 가져올 수 있는 것으로 확인 함. 
해당 요건은 ACE 내부 협의하여 삭제 여부 검토.
[0210] As-Is 장바구니 페이지 내 “영업점 전송” 버튼 삭제 여부는 해당 부서와 해당 기능 검토 후 결정.</t>
    </r>
    <phoneticPr fontId="29" type="noConversion"/>
  </si>
  <si>
    <t>요구불가입시 거래제한 유형 노출</t>
    <phoneticPr fontId="3" type="noConversion"/>
  </si>
  <si>
    <t>- 요구불 가입 불가 사유 맞춤형 노출
  ㅇ 단기간 다수계좌의 경우 계좌를 개설한 날짜/기관 노출, 추후 가입 가능한 일자 제공 
※ 마이스타 데이터 참조 , 케이뱅크 참조: 단기간다수계좌의 경우 개설 가능한 날짜 안내  
※ 은행연합회 호출 output 전문 값 확인 필요(에러코드값으로 받을 경우 해당 건별 노출 가능, Y/N일 경우 전문 값을 변경하도록 추진)
[01/15] 
- 계좌 개설 앞단계에서 가입 불가 조건 확인 후 불가 요건이 확인되면 개설 진행 전 노출하는 것으로 변경 확정.
- 에러 코드도 사용자가 이해하기 쉬운 언어로 변경. =&gt; UX라이팅 파트에 문의하고, 메시지 변경이 필요한 경우 수정이 필요한 메시지 취합해서 일괄 변경 할수 있도록 반영</t>
    <phoneticPr fontId="3" type="noConversion"/>
  </si>
  <si>
    <t>예금</t>
    <phoneticPr fontId="3" type="noConversion"/>
  </si>
  <si>
    <t xml:space="preserve"> 강경엽 차장</t>
    <phoneticPr fontId="3" type="noConversion"/>
  </si>
  <si>
    <t>Biz-073</t>
    <phoneticPr fontId="3" type="noConversion"/>
  </si>
  <si>
    <t>예적금 가입 개선</t>
    <phoneticPr fontId="3" type="noConversion"/>
  </si>
  <si>
    <t>비밀번호 입력 생략 진행</t>
    <phoneticPr fontId="3" type="noConversion"/>
  </si>
  <si>
    <t xml:space="preserve">예적금 신규 가입 시 ‘출금계좌 비밀번호와 동일하게’로 선택한 경우 계좌비밀번호 입력 없이 진행
</t>
    <phoneticPr fontId="3" type="noConversion"/>
  </si>
  <si>
    <t>개인고객부
(수신상품Unit)</t>
    <phoneticPr fontId="3" type="noConversion"/>
  </si>
  <si>
    <t>02/01 ACE팀 삭제. 이재민 대리</t>
    <phoneticPr fontId="3" type="noConversion"/>
  </si>
  <si>
    <t>N/A</t>
    <phoneticPr fontId="3" type="noConversion"/>
  </si>
  <si>
    <t>상품 만기예상금액 노출</t>
    <phoneticPr fontId="3" type="noConversion"/>
  </si>
  <si>
    <t>상품 만기예상금액 노출
  ㅇ 가입기간 및 금액 입력  &gt; 만기예상액 계산 
* 가입/해지시 동일하게 만기예상금액 노출
[2/19] 해당 현업부서에 요건 진행여부 확인 후 피드백</t>
    <phoneticPr fontId="3" type="noConversion"/>
  </si>
  <si>
    <t>2/19 현업부서 피드백 확인</t>
    <phoneticPr fontId="3" type="noConversion"/>
  </si>
  <si>
    <t>20210115_UIUX(상품예금)_회의록_2차요구사항분석_ver1.0.docx</t>
    <phoneticPr fontId="3" type="noConversion"/>
  </si>
  <si>
    <t>Biz-074</t>
    <phoneticPr fontId="3" type="noConversion"/>
  </si>
  <si>
    <t>예금해지/해지예상 조회</t>
    <phoneticPr fontId="3" type="noConversion"/>
  </si>
  <si>
    <t>예금해지/해지예상 조회 메뉴 통합</t>
    <phoneticPr fontId="3" type="noConversion"/>
  </si>
  <si>
    <r>
      <t xml:space="preserve">예금 해지예상조회, 예금 해지 메뉴 통합
  ㅇ 메뉴는 단일화 하고 해지시 정보입력 화면 內 해지예상금액 안내 
     * 상품가입/해지단 예상금액표출 인터렉션 동일하게 구성
</t>
    </r>
    <r>
      <rPr>
        <sz val="9"/>
        <color theme="4"/>
        <rFont val="KB금융 본문체 Light"/>
        <family val="3"/>
        <charset val="129"/>
      </rPr>
      <t>[01/15]
- 현재 노출되고 있는 예금담보대출 안내 배너가 존재하며 배너 선택하면 예금담보대출 견적 산출 페이지로 이동. 여기서 사용되는 기존 로직(해지예상조회시 적용되는 로직/예금담보대출 견적을 산출하는 로직)을 그대로 반영하여 페이지 이동하지 않고 결과값을 노출하는 방식으로 진행하는 것이 어떤지 현업/IT개발팀 확인이 필요함. 또한 페이지의 로딩 속도 이슈가 발생할 수 있는 관계로 해당 금액은 계산 버튼을 노출하여 사용자 선택시 금액을 노출하는 방향으로 개발 제안.
- 정리하면… 해지 예상금액과 예금담보대출 견적 결과값 비교만 노출하는 방안이 사용자 혼선 및 민원 방지 차원에서 맞는 방향으로 보임.
- 담당 현업, IT개발부와 해당 요건 확인 후 개선 진행</t>
    </r>
    <phoneticPr fontId="3" type="noConversion"/>
  </si>
  <si>
    <t>만기 전 해지시 예적금담보대출 권유</t>
    <phoneticPr fontId="3" type="noConversion"/>
  </si>
  <si>
    <r>
      <t xml:space="preserve">만기 전 해지시 예적금담보대출 권유
  ㅇ ‘예금담보대출’ 또는 ‘중도일부인출’ 차액비교를 통해 고객선택 유도
     · ‘중도해지예상금액’ VS ‘만기시 예상금액’ – ‘예금담보대출 예상이자금액’ 
     · 전액 ‘중도해지예상금액’ VS ‘일부해지금액’ + 잔액 ‘만기해지예상금액’
</t>
    </r>
    <r>
      <rPr>
        <sz val="9"/>
        <color theme="4"/>
        <rFont val="KB금융 본문체 Light"/>
        <family val="3"/>
        <charset val="129"/>
      </rPr>
      <t>[12/24]
- 만기전 해지시 예적금담보대출 권유는 이미 배너 형식으로 노출되고 있음. 대출정보까지 노출하는 것이 가능한지는 IT개발부 확인 필요함. 부정확한 대출정보가 보여질 여지가 있는 경우 노출하지 않는 것이 맞음. 해당 요건은 IT개발부 확인 후 요건 삭제함.</t>
    </r>
    <r>
      <rPr>
        <sz val="9"/>
        <rFont val="KB금융 본문체 Light"/>
        <family val="3"/>
        <charset val="129"/>
      </rPr>
      <t xml:space="preserve">
</t>
    </r>
    <phoneticPr fontId="3" type="noConversion"/>
  </si>
  <si>
    <t>예금해지 불가 안내</t>
    <phoneticPr fontId="3" type="noConversion"/>
  </si>
  <si>
    <r>
      <t xml:space="preserve">예금해지 불가 안내
  ㅇ 요구불 보유상품 1개 고객이 예금해지 목록에서 해지 불가하도록 개선
</t>
    </r>
    <r>
      <rPr>
        <sz val="9"/>
        <color theme="4"/>
        <rFont val="KB금융 본문체 Light"/>
        <family val="3"/>
        <charset val="129"/>
      </rPr>
      <t xml:space="preserve">[12/24]
- 요구불 보유상품이 1개인 경우 예금해지 목록에서 해지 불가 안내/해지 버튼 hidden 처리하는 것으로 확정. </t>
    </r>
    <phoneticPr fontId="3" type="noConversion"/>
  </si>
  <si>
    <t>Biz-075</t>
    <phoneticPr fontId="3" type="noConversion"/>
  </si>
  <si>
    <t>예금전환 개선</t>
    <phoneticPr fontId="3" type="noConversion"/>
  </si>
  <si>
    <t>BFE-71060</t>
    <phoneticPr fontId="3" type="noConversion"/>
  </si>
  <si>
    <t>전환 가능한 상품 목록 노출</t>
    <phoneticPr fontId="3" type="noConversion"/>
  </si>
  <si>
    <t xml:space="preserve">예금 전환목록 선택시 전환 가능한 상품 목록만 나오도록 개선
  ㅇ 동일 상품명 또는 고객 보유 상품중 1인 1계좌만 가능한 상품 제외
[12/24]
- 예금전환 가능 목록에서 이미 사용자가 보유하고 있는 1인1계좌 상품 및 동일 상품은 제외하고 노출하는 것으로 확정. </t>
    <phoneticPr fontId="3" type="noConversion"/>
  </si>
  <si>
    <t>예금상품공시 자동화</t>
    <phoneticPr fontId="3" type="noConversion"/>
  </si>
  <si>
    <t>BFE-71070</t>
    <phoneticPr fontId="3" type="noConversion"/>
  </si>
  <si>
    <t>KB Star 정기예금 최고금리 자동변경</t>
    <phoneticPr fontId="3" type="noConversion"/>
  </si>
  <si>
    <t xml:space="preserve">KB Star 정기예금 최고금리 자동변경
  ㅇ 정보개발부 MOR금리테이블과 연계하여 KB Star 정기예금 최고금리를 매주 월요일 0시에 자동 변경되도록 전문 개발 필요
</t>
    <phoneticPr fontId="3" type="noConversion"/>
  </si>
  <si>
    <t>개인고객그룹 
(비대면금융상품 Unit)</t>
    <phoneticPr fontId="3" type="noConversion"/>
  </si>
  <si>
    <r>
      <rPr>
        <sz val="10"/>
        <color rgb="FF0000FF"/>
        <rFont val="KB금융 본문체 Light"/>
        <family val="3"/>
        <charset val="129"/>
      </rPr>
      <t>[0503]</t>
    </r>
    <r>
      <rPr>
        <sz val="10"/>
        <color theme="1"/>
        <rFont val="KB금융 본문체 Light"/>
        <family val="3"/>
        <charset val="129"/>
      </rPr>
      <t>조건부승인-&gt;승인</t>
    </r>
    <r>
      <rPr>
        <sz val="10"/>
        <color rgb="FF0000FF"/>
        <rFont val="KB금융 본문체 Light"/>
        <family val="3"/>
        <charset val="129"/>
      </rPr>
      <t xml:space="preserve">
(</t>
    </r>
    <r>
      <rPr>
        <sz val="10"/>
        <color theme="1"/>
        <rFont val="KB금융 본문체 Light"/>
        <family val="3"/>
        <charset val="129"/>
      </rPr>
      <t>배치프로그램 개발로 확정 완료)
테크에서 전문 제공여부 확인</t>
    </r>
    <phoneticPr fontId="3" type="noConversion"/>
  </si>
  <si>
    <t>개인뱅킹플랫폼</t>
    <phoneticPr fontId="3" type="noConversion"/>
  </si>
  <si>
    <t>Biz-153</t>
    <phoneticPr fontId="3" type="noConversion"/>
  </si>
  <si>
    <t>영업점 주요거래 비대면 신설</t>
    <phoneticPr fontId="29" type="noConversion"/>
  </si>
  <si>
    <t>수신 거래 비대면 신설</t>
    <phoneticPr fontId="3" type="noConversion"/>
  </si>
  <si>
    <r>
      <t xml:space="preserve">- 영업점에서만 제공되는 거래 비대면 신설(단계적 진행)
  ㅇ 성명 변경 : 고객명 </t>
    </r>
    <r>
      <rPr>
        <strike/>
        <sz val="9"/>
        <color rgb="FFFF0000"/>
        <rFont val="KB금융 본문체 Light"/>
        <family val="3"/>
        <charset val="129"/>
      </rPr>
      <t>및 영문명 변경</t>
    </r>
    <phoneticPr fontId="29" type="noConversion"/>
  </si>
  <si>
    <t>요건 정의 전체회의(02/19)에서 삭제 확정</t>
    <phoneticPr fontId="3" type="noConversion"/>
  </si>
  <si>
    <t>20210225_UIUX(요구사항정의서)_회의록_요구사항 삭제 요건 협의_1.0.docx</t>
    <phoneticPr fontId="3" type="noConversion"/>
  </si>
  <si>
    <t>BFE-71090</t>
    <phoneticPr fontId="3" type="noConversion"/>
  </si>
  <si>
    <t>급여지정일 등록/변경/삭제</t>
    <phoneticPr fontId="3" type="noConversion"/>
  </si>
  <si>
    <r>
      <t xml:space="preserve">- 영업점에서만 제공되는 거래 비대면 신설(단계적 진행)
  ㅇ 급여지정일 등록/변경/삭제
</t>
    </r>
    <r>
      <rPr>
        <sz val="9"/>
        <color theme="4"/>
        <rFont val="KB금융 본문체 Light"/>
        <family val="3"/>
        <charset val="129"/>
      </rPr>
      <t>[02/09] 
해당 상품 상세조회내 페이지로 구성할지 메뉴로 추가할지에 대한 사항은 ACE 팀과 현업 조율 후 결정</t>
    </r>
    <phoneticPr fontId="29" type="noConversion"/>
  </si>
  <si>
    <r>
      <rPr>
        <sz val="10"/>
        <color rgb="FF0000FF"/>
        <rFont val="KB금융 본문체 Light"/>
        <family val="3"/>
        <charset val="129"/>
      </rPr>
      <t>[0504]</t>
    </r>
    <r>
      <rPr>
        <sz val="10"/>
        <color theme="1"/>
        <rFont val="KB금융 본문체 Light"/>
        <family val="3"/>
        <charset val="129"/>
      </rPr>
      <t>조건부승인-&gt;승인
적금 가입시 해당 기능 반영(메뉴가 아닌 프로세스로 반영)
상품가입 &gt; 적금</t>
    </r>
    <phoneticPr fontId="3" type="noConversion"/>
  </si>
  <si>
    <t>20201224_UIUX(영업점)_회의록_영업점 1차 요구사항분석_Ver 1.0.docx</t>
    <phoneticPr fontId="3" type="noConversion"/>
  </si>
  <si>
    <t>강경엽차장</t>
    <phoneticPr fontId="3" type="noConversion"/>
  </si>
  <si>
    <t>BFE-71100</t>
    <phoneticPr fontId="3" type="noConversion"/>
  </si>
  <si>
    <t>17세미만 요구불가입</t>
    <phoneticPr fontId="3" type="noConversion"/>
  </si>
  <si>
    <t>- 영업점에서만 제공되는 거래 비대면 신설(단계적 진행)
  ㅇ 수신 : 만17세 미만 요구불 가입
[2/19] 17세 미만자 인증 방법 확인 필요(여권, 마이데이터) - CDD/EDD 요건(주소확인 등)</t>
    <phoneticPr fontId="29" type="noConversion"/>
  </si>
  <si>
    <t xml:space="preserve"> 여권촬영 솔루션 도입 결정
단, 개발 주체 및 구체적 요건 미확정, 확정 후 최종 결정 예정</t>
    <phoneticPr fontId="3" type="noConversion"/>
  </si>
  <si>
    <t>BFE-71110</t>
    <phoneticPr fontId="3" type="noConversion"/>
  </si>
  <si>
    <t>외국인요구불가입</t>
    <phoneticPr fontId="3" type="noConversion"/>
  </si>
  <si>
    <t>- 영업점에서만 제공되는 거래 비대면 신설(단계적 진행)
  ㅇ 수신 : 외국인 요구불 가입</t>
    <phoneticPr fontId="29" type="noConversion"/>
  </si>
  <si>
    <t>02/02
2차 요구분석 회의 후 외국인 비대면 요구불가입 요건 삭제. 이재민대리 구두 컨펌</t>
    <phoneticPr fontId="3" type="noConversion"/>
  </si>
  <si>
    <t>Biz-077</t>
    <phoneticPr fontId="3" type="noConversion"/>
  </si>
  <si>
    <t>BFE-72000</t>
    <phoneticPr fontId="3" type="noConversion"/>
  </si>
  <si>
    <t>소액 신용상품 신설</t>
    <phoneticPr fontId="3" type="noConversion"/>
  </si>
  <si>
    <t>- 스타뱅킹 전용의 소액 신용상품 신설
  ㅇ 대출 대상 : KB Star Club 프리미엄스타(은행본인등급기준) 이상
  ㅇ 대출종류 : 가계일반자금대출(개별거래), 종합통장자동대출
  ㅇ 채권보전 : 무보증 신용 or 서울보증보험 담보
  ㅇ 타깃 고객 : 당행 주거래 고객이면서 재직 및 소득을 증빙할 수 없는 고객
  ㅇ 특이사항 : DSR산정 제외(高 DSR 분류)            
-&gt; 해당 요건은 All-in-ONE 요건으로 이관</t>
    <phoneticPr fontId="3" type="noConversion"/>
  </si>
  <si>
    <t>개인여신상품부/장애림
개인여신상품부/오정현
개인여신상품부/이동민</t>
    <phoneticPr fontId="3" type="noConversion"/>
  </si>
  <si>
    <r>
      <rPr>
        <sz val="10"/>
        <color rgb="FF0000FF"/>
        <rFont val="KB금융 본문체 Light"/>
        <family val="3"/>
        <charset val="129"/>
      </rPr>
      <t>[0504]</t>
    </r>
    <r>
      <rPr>
        <sz val="10"/>
        <color theme="1"/>
        <rFont val="KB금융 본문체 Light"/>
        <family val="3"/>
        <charset val="129"/>
      </rPr>
      <t>조건부승인-&gt;삭제</t>
    </r>
    <phoneticPr fontId="3" type="noConversion"/>
  </si>
  <si>
    <t>20201223_UIUX(대출)_회의록_1차 요구사항분석_Ver1.0.docx
20201230_UIUX(대출)_회의록_ACE 가계여신 프로젝트 업무 협의_Ver1.1.docx</t>
    <phoneticPr fontId="3" type="noConversion"/>
  </si>
  <si>
    <t>권용석</t>
    <phoneticPr fontId="3" type="noConversion"/>
  </si>
  <si>
    <t>대출</t>
    <phoneticPr fontId="3" type="noConversion"/>
  </si>
  <si>
    <t xml:space="preserve">코어뱅킹2플랫폼부
</t>
    <phoneticPr fontId="3" type="noConversion"/>
  </si>
  <si>
    <t>진명규 차장
우승우 수석
김경훈 대리(보증)</t>
    <phoneticPr fontId="3" type="noConversion"/>
  </si>
  <si>
    <t>여신심사</t>
    <phoneticPr fontId="3" type="noConversion"/>
  </si>
  <si>
    <t>박양하 과장</t>
    <phoneticPr fontId="3" type="noConversion"/>
  </si>
  <si>
    <t>신규 신용대출 프로세스 진행</t>
    <phoneticPr fontId="3" type="noConversion"/>
  </si>
  <si>
    <t>- 기존 통합신용대출 및 ACE가계여신 상품 통합 프로세스와 별개로 신규 소액 신용상품 프로세스로 대출 상품으로 진행</t>
    <phoneticPr fontId="3" type="noConversion"/>
  </si>
  <si>
    <t>Biz-079</t>
    <phoneticPr fontId="3" type="noConversion"/>
  </si>
  <si>
    <t>적용금리내역조회 메뉴 삭제</t>
    <phoneticPr fontId="3" type="noConversion"/>
  </si>
  <si>
    <t>적'적용금리내역조회 메뉴 삭제
- 적용금리내역조회 : 메뉴 삭제시 해당 화면의 기능은 전계좌조회내 해당 계좌에 연결 경로 제공 
-&gt; 메뉴는 삭제됨. 단, 컨텐츠는 전체계좌조회를 통한 연계 컨텐츠로 제공</t>
    <phoneticPr fontId="3" type="noConversion"/>
  </si>
  <si>
    <r>
      <rPr>
        <sz val="10"/>
        <color rgb="FF0000FF"/>
        <rFont val="KB금융 본문체 Light"/>
        <family val="3"/>
        <charset val="129"/>
      </rPr>
      <t>[0504]</t>
    </r>
    <r>
      <rPr>
        <sz val="10"/>
        <color theme="1"/>
        <rFont val="KB금융 본문체 Light"/>
        <family val="3"/>
        <charset val="129"/>
      </rPr>
      <t>조건부승인-&gt;승인
IA 최종 확정안에 따른 요건 변경 가능</t>
    </r>
    <phoneticPr fontId="3" type="noConversion"/>
  </si>
  <si>
    <t>20201230_UIUX(대출)_회의록_ACE 가계여신 프로젝트 업무 협의_Ver1.1.docx</t>
    <phoneticPr fontId="3" type="noConversion"/>
  </si>
  <si>
    <t>대출 메뉴 축소화 진행</t>
    <phoneticPr fontId="3" type="noConversion"/>
  </si>
  <si>
    <t>대출 메뉴 축소화
- 통합할수있는 대출 메뉴는 기능 여부 확인하여 메뉴를 통합하여 메뉴 축소화 진행
  ㅇ 대출한도 감액, 대출한도 해지 등등 기능적으로 통합 가능한 메뉴 확인하여 진행</t>
    <phoneticPr fontId="3" type="noConversion"/>
  </si>
  <si>
    <t>BFE-72050</t>
    <phoneticPr fontId="3" type="noConversion"/>
  </si>
  <si>
    <t>여신 거래 비대면 신설</t>
    <phoneticPr fontId="3" type="noConversion"/>
  </si>
  <si>
    <t xml:space="preserve">- 영업점에서만 제공되는 거래 비대면 신설(단계적 진행)
   ㅇ 여신 : 통장자동대출 한도 증액 신청, 주택보증 조건변경/기한연장 </t>
    <phoneticPr fontId="29" type="noConversion"/>
  </si>
  <si>
    <t>[0420]all-in-one 프로젝트 요건</t>
    <phoneticPr fontId="3" type="noConversion"/>
  </si>
  <si>
    <t>퇴직연금 DC/IRP 프로세스 간소화</t>
    <phoneticPr fontId="29" type="noConversion"/>
  </si>
  <si>
    <t>퇴직연금 DC/IRP 프로세스 간소화</t>
    <phoneticPr fontId="3" type="noConversion"/>
  </si>
  <si>
    <r>
      <t>- (전 메뉴 공통) 계좌 선택단계 삭제
  ㅇ 계좌 1개 존재시 그 계좌를 보여주고
  ㅇ 계좌 2개 존재시 평가금액이 가장 큰 계좌 디폴트 표시 (다른 계좌 선택 가능)</t>
    </r>
    <r>
      <rPr>
        <b/>
        <sz val="9"/>
        <color theme="1"/>
        <rFont val="KB금융 본문체 Light"/>
        <family val="3"/>
        <charset val="129"/>
      </rPr>
      <t xml:space="preserve">
- 핵심메뉴 중심으로 거래 뎁스 최소화 및 메뉴간 연계 강화
  ㅇ 전체메뉴 IA구성과 별개로, 홈화면(계좌조회 등) 통해 접근하는 고객이 실질 체감하는 거래 뎁스를 최소화하는 데 초점
  ㅇ 홈화면에서 퇴직연금 계좌조회시 '나의 퇴직연금', '상품변경', '입금' 등 가장 핵심 메뉴에 대한 즉시(1depth) 접근 가능하도록 구현
  ㅇ 실질적 퇴직연금 Main페이지 역할 '나의 퇴직연금'을 기점으로, 핵심 메뉴/기능들(수익률/보유상품 현황, 상품변경, 입금 등)에 대한 접근성 최우선 고려
  ㅇ 거래의 연속성 및 관련성을 고려하여 퇴직연금 메뉴간 연계 강화 (관련메뉴 이동 위한 버튼배치, 팝업생성 등)
</t>
    </r>
    <r>
      <rPr>
        <sz val="9"/>
        <color theme="1"/>
        <rFont val="KB금융 본문체 Light"/>
        <family val="3"/>
        <charset val="129"/>
      </rPr>
      <t>- IRP신규 프로세스 간소화</t>
    </r>
    <r>
      <rPr>
        <b/>
        <sz val="9"/>
        <color theme="1"/>
        <rFont val="KB금융 본문체 Light"/>
        <family val="3"/>
        <charset val="129"/>
      </rPr>
      <t xml:space="preserve">
  ㅇ 선 계좌신규 후 (고객의사에 따른) 운용상품 등록 : 계좌신규 자체 프로세스를 대폭 줄이고, 운용상품등록은 선택적 운영
  ㅇ case 1) 운용상품 미등록할 고객 IRP 신규 프로세스: 가입자격 확인&gt;입금정보 입력&gt;서비스정보 입력&gt;안내사항 통합확인&gt;전자서명 및 신규완료</t>
    </r>
    <r>
      <rPr>
        <sz val="9"/>
        <color theme="1"/>
        <rFont val="KB금융 본문체 Light"/>
        <family val="3"/>
        <charset val="129"/>
      </rPr>
      <t xml:space="preserve">
 </t>
    </r>
    <r>
      <rPr>
        <b/>
        <sz val="9"/>
        <color theme="1"/>
        <rFont val="KB금융 본문체 Light"/>
        <family val="3"/>
        <charset val="129"/>
      </rPr>
      <t xml:space="preserve"> ㅇ case 2) 운용상품 등록할 고객 IRP 신규 프로세스: 가입자격 확인&gt;입금정보 입력&gt;(투자성향 분석)&gt;운용할 상품 선택&gt;운용비율등록&gt;서비스정보입력&gt;안내사항 통합확인&gt;전자서명 및 신규완료</t>
    </r>
    <phoneticPr fontId="29" type="noConversion"/>
  </si>
  <si>
    <t>임현정</t>
    <phoneticPr fontId="29" type="noConversion"/>
  </si>
  <si>
    <t>퇴직연금</t>
    <phoneticPr fontId="3" type="noConversion"/>
  </si>
  <si>
    <t xml:space="preserve"> 김용희 과장</t>
    <phoneticPr fontId="3" type="noConversion"/>
  </si>
  <si>
    <t>BFE-73010</t>
    <phoneticPr fontId="3" type="noConversion"/>
  </si>
  <si>
    <t>퇴직연금 상품변경 프로세스 간소화</t>
    <phoneticPr fontId="29" type="noConversion"/>
  </si>
  <si>
    <r>
      <t>- 퇴직연금 상품변경(보유상품변경/입금예정상품변경/만기도래상품 예약변경) 프로세스 간소화</t>
    </r>
    <r>
      <rPr>
        <b/>
        <strike/>
        <sz val="9"/>
        <color theme="1"/>
        <rFont val="KB금융 본문체 Light"/>
        <family val="3"/>
        <charset val="129"/>
      </rPr>
      <t xml:space="preserve">
</t>
    </r>
    <r>
      <rPr>
        <b/>
        <sz val="9"/>
        <color theme="1"/>
        <rFont val="KB금융 본문체 Light"/>
        <family val="3"/>
        <charset val="129"/>
      </rPr>
      <t xml:space="preserve">  ㅇ 상품변경 메뉴진입시 크게 2개 카테고리 (보유상품변경, 입금예정상품 변경) 구분
  ㅇ '상품변경조회/취소', '관심상품 보기', '거래방법'은 별도 버튼 통해 해당페이지 이동
  ㅇ '상품변경' 진입시 디폴트 카테고리는 '보유상품변경'이며, 매도상품선택단계 즉각 진행가능하도록 화면 구현
  ㅇ 만기도래상품 예약변경 하려는 고객은 '보유상품변경' 내 버튼 통해서 해당페이지 이동하여 진행
  ㅇ 입금예정상품 변경 원하는 고객은 해당페이지에서 계속성(디폴트) 또는 일회성 거래 진행</t>
    </r>
    <r>
      <rPr>
        <sz val="9"/>
        <color theme="1"/>
        <rFont val="KB금융 본문체 Light"/>
        <family val="3"/>
        <charset val="129"/>
      </rPr>
      <t xml:space="preserve">
  </t>
    </r>
    <r>
      <rPr>
        <b/>
        <sz val="9"/>
        <color theme="1"/>
        <rFont val="KB금융 본문체 Light"/>
        <family val="3"/>
        <charset val="129"/>
      </rPr>
      <t>ㅇ 불필요한 확인 페이지 및 팝업 삭제 (별도의 진행프로세스 확인, 케이봇SAM  안내 팝업 삭제)</t>
    </r>
    <r>
      <rPr>
        <sz val="9"/>
        <color theme="1"/>
        <rFont val="KB금융 본문체 Light"/>
        <family val="3"/>
        <charset val="129"/>
      </rPr>
      <t xml:space="preserve">
  ㅇ 매도상품 선택 단계에서 매도수량까지 일괄 설정</t>
    </r>
    <r>
      <rPr>
        <strike/>
        <sz val="9"/>
        <color theme="1"/>
        <rFont val="KB금융 본문체 Light"/>
        <family val="3"/>
        <charset val="129"/>
      </rPr>
      <t xml:space="preserve">
</t>
    </r>
    <r>
      <rPr>
        <b/>
        <sz val="9"/>
        <color theme="1"/>
        <rFont val="KB금융 본문체 Light"/>
        <family val="3"/>
        <charset val="129"/>
      </rPr>
      <t xml:space="preserve">  ㅇ 매수상품 선택시 상품 표출 :  개인화 맞춤상품은 별도의 캐러셀 표출 (3~4개 이내)
  ㅇ 전체상품|추천테마별|관심상품|정기예금 카테고리별 목록성 상품표출 
  ㅇ 전체상품의 경우, 조건검색 기능 (투자지역, 상품유형, 3개월수익률 범위, 위험자산여부, 포함단어 등의 검색조건 설정)
  ㅇ 매수상품 선택방법 : 일괄 체크박스 선택하여 '선택완료'버튼 통해 다음단계 진행
  ㅇ 운용비율입력 단계 내 상품별 위험자산 여부 및 가능한도 표시 개선</t>
    </r>
    <r>
      <rPr>
        <strike/>
        <sz val="9"/>
        <rFont val="KB금융 본문체 Light"/>
        <family val="3"/>
        <charset val="129"/>
      </rPr>
      <t/>
    </r>
    <phoneticPr fontId="29" type="noConversion"/>
  </si>
  <si>
    <t>Biz-083</t>
    <phoneticPr fontId="3" type="noConversion"/>
  </si>
  <si>
    <r>
      <t xml:space="preserve">퇴직연금 상품찾기 기능 개선
</t>
    </r>
    <r>
      <rPr>
        <b/>
        <sz val="9"/>
        <color theme="8"/>
        <rFont val="KB금융 본문체 Light"/>
        <family val="3"/>
        <charset val="129"/>
      </rPr>
      <t>(퇴직연금 상품정보 개선)</t>
    </r>
    <phoneticPr fontId="29" type="noConversion"/>
  </si>
  <si>
    <t>퇴직연금 상품찾기 기능 개선
(퇴직연금 상품정보 개선)</t>
    <phoneticPr fontId="3" type="noConversion"/>
  </si>
  <si>
    <t>상품변경 내 매수상품선택 단계와 동일한 테마로 구성 (하단 버튼은 '선택완료'를 대신하여 '관심상품 담기' 버튼으로 대체) 단, 상품테마별 탭 &gt; 상품테마- '판매액 best', '관심상품' 데이터,  상품유형별 탭 &gt; 상품유형 – 고유계정대 데이터 제외하고 표시</t>
    <phoneticPr fontId="29" type="noConversion"/>
  </si>
  <si>
    <t>퇴직연금 신규시 타기능/타메뉴 연계</t>
    <phoneticPr fontId="3" type="noConversion"/>
  </si>
  <si>
    <t>퇴직연금 신규시 타기능/타메뉴 연계</t>
    <phoneticPr fontId="29" type="noConversion"/>
  </si>
  <si>
    <r>
      <rPr>
        <b/>
        <sz val="9"/>
        <color theme="1"/>
        <rFont val="KB금융 본문체 Light"/>
        <family val="3"/>
        <charset val="129"/>
      </rPr>
      <t>- 연금계좌이체 동시 진행
  ㅇ ‘타 기관 연금계좌 가져오기 + IRP 신규’ 선택시 연금계좌이체 정보 먼저 입력 후 본인확인, 신규프로세스 진행
      (※ 연금계좌이체시 가입일 산정 이슈로 인해 0원계좌 강제, 이에 따라 본인확인 프로세스 필요)</t>
    </r>
    <r>
      <rPr>
        <sz val="9"/>
        <color theme="1"/>
        <rFont val="KB금융 본문체 Light"/>
        <family val="3"/>
        <charset val="129"/>
      </rPr>
      <t xml:space="preserve">
- DC/IRP 신규시 요구불계좌 동시신규 선택 가능
  ㅇ IRP 가입자격확인 이후 단계에서 요구불계좌 </t>
    </r>
    <r>
      <rPr>
        <b/>
        <sz val="9"/>
        <color theme="1"/>
        <rFont val="KB금융 본문체 Light"/>
        <family val="3"/>
        <charset val="129"/>
      </rPr>
      <t xml:space="preserve">미보유 고객의 경우 팝업을 표출, 요구불 </t>
    </r>
    <r>
      <rPr>
        <sz val="9"/>
        <color theme="1"/>
        <rFont val="KB금융 본문체 Light"/>
        <family val="3"/>
        <charset val="129"/>
      </rPr>
      <t xml:space="preserve">신규프로세스 자동 연동 </t>
    </r>
    <r>
      <rPr>
        <b/>
        <sz val="9"/>
        <color theme="1"/>
        <rFont val="KB금융 본문체 Light"/>
        <family val="3"/>
        <charset val="129"/>
      </rPr>
      <t>(검토)</t>
    </r>
    <phoneticPr fontId="29" type="noConversion"/>
  </si>
  <si>
    <t xml:space="preserve">퇴직연금 추가입금 </t>
    <phoneticPr fontId="3" type="noConversion"/>
  </si>
  <si>
    <r>
      <t>- 퇴직연금 입금 및 자동이체 거래 인증프로세스 간소화
  ㅇ 자기부담금 입금 거래시 보안매체, 전자서명 입력생략 (계좌비밀번호 입력만 유지)
  ㅇ 자동이체등록/변경/해제 거래시 보안매체, 전자서명 입력을 계좌비밀번호 입력으로 대체</t>
    </r>
    <r>
      <rPr>
        <sz val="9"/>
        <color rgb="FFFF0000"/>
        <rFont val="KB금융 본문체 Light"/>
        <family val="3"/>
        <charset val="129"/>
      </rPr>
      <t/>
    </r>
    <phoneticPr fontId="29" type="noConversion"/>
  </si>
  <si>
    <t>My 퇴직연금 개선</t>
    <phoneticPr fontId="3" type="noConversion"/>
  </si>
  <si>
    <t>My 퇴직연금 개선</t>
    <phoneticPr fontId="29" type="noConversion"/>
  </si>
  <si>
    <r>
      <rPr>
        <b/>
        <sz val="9"/>
        <color theme="1"/>
        <rFont val="KB금융 본문체 Light"/>
        <family val="3"/>
        <charset val="129"/>
      </rPr>
      <t>- 메뉴명 변경 : 'My퇴직연금'</t>
    </r>
    <r>
      <rPr>
        <b/>
        <sz val="9"/>
        <color theme="1"/>
        <rFont val="KB금융 본문체 Medium"/>
        <family val="3"/>
        <charset val="129"/>
      </rPr>
      <t>→</t>
    </r>
    <r>
      <rPr>
        <b/>
        <sz val="9"/>
        <color theme="1"/>
        <rFont val="KB금융 본문체 Light"/>
        <family val="3"/>
        <charset val="129"/>
      </rPr>
      <t>'나의 퇴직연금'으로 변경 (전행 방침에 따른 것)</t>
    </r>
    <r>
      <rPr>
        <sz val="9"/>
        <color theme="1"/>
        <rFont val="KB금융 본문체 Light"/>
        <family val="3"/>
        <charset val="129"/>
      </rPr>
      <t xml:space="preserve">
</t>
    </r>
    <r>
      <rPr>
        <b/>
        <sz val="9"/>
        <color theme="1"/>
        <rFont val="KB금융 본문체 Light"/>
        <family val="3"/>
        <charset val="129"/>
      </rPr>
      <t>- 메뉴접근 간소화</t>
    </r>
    <r>
      <rPr>
        <b/>
        <strike/>
        <sz val="9"/>
        <color theme="1"/>
        <rFont val="KB금융 본문체 Light"/>
        <family val="3"/>
        <charset val="129"/>
      </rPr>
      <t xml:space="preserve">
</t>
    </r>
    <r>
      <rPr>
        <b/>
        <sz val="9"/>
        <color theme="1"/>
        <rFont val="KB금융 본문체 Light"/>
        <family val="3"/>
        <charset val="129"/>
      </rPr>
      <t xml:space="preserve">  ㅇ '나의 퇴직연금' 메인페이지에서 수익률 정보, 개인화 알림 정보(점검, 비교, 포트폴리오 리밸런싱 등), 개인화 추천상품정보 등 바로 표시
  ㅇ '나의 퇴직연금' 메인페이지에서 '수익률/보유상품 상세', '수익률 점검', '수익률 비교', '상품정보' 등의 페이지로 연계 지원</t>
    </r>
    <r>
      <rPr>
        <sz val="9"/>
        <color theme="1"/>
        <rFont val="KB금융 본문체 Light"/>
        <family val="3"/>
        <charset val="129"/>
      </rPr>
      <t xml:space="preserve">
- 수익률: 부담금구분(전체), 기간설정(최초입금 이후) 디폴트 표시, 단순 /공시/연환산 수익률 확인가능 </t>
    </r>
    <r>
      <rPr>
        <b/>
        <sz val="9"/>
        <color theme="1"/>
        <rFont val="KB금융 본문체 Light"/>
        <family val="3"/>
        <charset val="129"/>
      </rPr>
      <t>(단순수익률 중심으로 표시)
- 각종 구분선택 최소화
  ㅇ 부담금구분(전체), 기간설정(최초입금 이후), 단순수익률 디폴트 표시</t>
    </r>
    <r>
      <rPr>
        <sz val="9"/>
        <color theme="1"/>
        <rFont val="KB금융 본문체 Light"/>
        <family val="3"/>
        <charset val="129"/>
      </rPr>
      <t xml:space="preserve">
- 보유상품 현황 : 
  ㅇ 상품명, 금액, 비중, 수익률 확인가능, 정렬가능(평가금액순 디폴트)
  ㅇ 개별 상품 터치시 세부정보 팝업 표시, 세부정보 팝업에서 상품변경 연동 가능
</t>
    </r>
    <r>
      <rPr>
        <b/>
        <sz val="9"/>
        <color theme="1"/>
        <rFont val="KB금융 본문체 Light"/>
        <family val="3"/>
        <charset val="129"/>
      </rPr>
      <t xml:space="preserve">  ㅇ 포트폴리오 보유고객은 포트폴리오 변경 또는 리밸런싱진단 가능으로 페이지 연동(자산관리&gt;케이봇쌤페이지)</t>
    </r>
    <r>
      <rPr>
        <sz val="9"/>
        <color theme="1"/>
        <rFont val="KB금융 본문체 Light"/>
        <family val="3"/>
        <charset val="129"/>
      </rPr>
      <t xml:space="preserve">
- 수익률비교: 전체 가입자/동 연령대 가입자/동 금액대 각 비교그룹 상위10%와 나의 수익률 비교, 각 비교그룹 최근 1개월 판매금액상위 상품 노출
- 보유상품 점검(현, 자산운용체크포인트): 미운용 현금자산 / 만기도래 / 수익률 급등 / 수익률 급락 / 장기간 보유 / 5개 기준에서 점검, 점검대상에 대한 상세정보 표시 </t>
    </r>
    <r>
      <rPr>
        <b/>
        <sz val="9"/>
        <color theme="1"/>
        <rFont val="KB금융 본문체 Light"/>
        <family val="3"/>
        <charset val="129"/>
      </rPr>
      <t>(점검기준 변경가능)</t>
    </r>
    <r>
      <rPr>
        <sz val="9"/>
        <rFont val="KB금융 본문체 Light"/>
        <family val="3"/>
        <charset val="129"/>
      </rPr>
      <t/>
    </r>
    <phoneticPr fontId="29" type="noConversion"/>
  </si>
  <si>
    <t>퇴직연금 IRP수수료납입내역 거래 신설</t>
    <phoneticPr fontId="3" type="noConversion"/>
  </si>
  <si>
    <r>
      <t>- 개인형IRP수수료 납입내역을 조회할 수 있는 메뉴 신설(기업고객은 현재 메뉴 있음)
  ㅇ 수수료 관리의 수수료 납입내역조회 참조, 해당 내용에 대하여 출력기능 부여 [관련화면: 마이스타 04-12-613] -</t>
    </r>
    <r>
      <rPr>
        <b/>
        <sz val="9"/>
        <rFont val="KB금융 본문체 Light"/>
        <family val="3"/>
        <charset val="129"/>
      </rPr>
      <t>조회&gt;'입/지급내역조회'의 하나의 기능으로서 개발</t>
    </r>
    <phoneticPr fontId="29" type="noConversion"/>
  </si>
  <si>
    <t>퇴직연금 관심상품 고도화</t>
    <phoneticPr fontId="3" type="noConversion"/>
  </si>
  <si>
    <t>BFE-73070</t>
    <phoneticPr fontId="3" type="noConversion"/>
  </si>
  <si>
    <r>
      <t xml:space="preserve">- 관심상품 기능 고도화
  ㅇ 현재: 관심상품 등록해두고 상품변경 시 확인할 수 있는 정도의 기능
  ㅇ 신설/변경: </t>
    </r>
    <r>
      <rPr>
        <strike/>
        <sz val="9"/>
        <color theme="1"/>
        <rFont val="KB금융 본문체 Light"/>
        <family val="3"/>
        <charset val="129"/>
      </rPr>
      <t>관심상품 리스트에서 복수상품 선택, 상품변경 업무로 즉시 연동 기능</t>
    </r>
    <r>
      <rPr>
        <sz val="9"/>
        <color theme="1"/>
        <rFont val="KB금융 본문체 Light"/>
        <family val="3"/>
        <charset val="129"/>
      </rPr>
      <t xml:space="preserve">, </t>
    </r>
    <r>
      <rPr>
        <b/>
        <strike/>
        <sz val="9"/>
        <color theme="1"/>
        <rFont val="KB금융 본문체 Light"/>
        <family val="3"/>
        <charset val="129"/>
      </rPr>
      <t>등록된 관심상품의 수익률 simulation 제공(현재 케이봇쌤설계 내 시뮬레이션 알고리즘 활용 가능한 경우)</t>
    </r>
    <phoneticPr fontId="29" type="noConversion"/>
  </si>
  <si>
    <t>Biz-091</t>
    <phoneticPr fontId="3" type="noConversion"/>
  </si>
  <si>
    <t>- 신탁형 ISA 추가입금 시 투자성향 분석 이력이 있을경우 기존 프로세스로 진행, 없을 경우 투자성향 분석 진행 후 기존 프로세스로 진행
- 등록 &gt; 운용지시 등록 메뉴로 통한 접근시에도 투자성향 분석 프로세스 추가 하여 동일하게 적용</t>
    <phoneticPr fontId="3" type="noConversion"/>
  </si>
  <si>
    <t>20210119_UIUX(신탁)_회의록_3차 요구사항 정리_Ver1.0.docx</t>
    <phoneticPr fontId="3" type="noConversion"/>
  </si>
  <si>
    <t>신탁</t>
    <phoneticPr fontId="3" type="noConversion"/>
  </si>
  <si>
    <t>Biz-100</t>
    <phoneticPr fontId="3" type="noConversion"/>
  </si>
  <si>
    <t>외화 ELS 항목관련 통합어드민 개선</t>
    <phoneticPr fontId="3" type="noConversion"/>
  </si>
  <si>
    <t>- 통합어드민의 ELS 상품에 외화 상품 추가
  ㅇ As-is 상품관리에 외화 항목 추가하여 원화/외화 상품 관리</t>
    <phoneticPr fontId="3" type="noConversion"/>
  </si>
  <si>
    <t>20210108_UIUX(신탁)_회의록_1차 요구사항분석_Ver1.0.docx
20210115_UIUX(신탁)_회의록_2차 요구사항 정리_Ver1.0.docx</t>
    <phoneticPr fontId="3" type="noConversion"/>
  </si>
  <si>
    <t>Biz-167</t>
    <phoneticPr fontId="3" type="noConversion"/>
  </si>
  <si>
    <t>어드민</t>
    <phoneticPr fontId="3" type="noConversion"/>
  </si>
  <si>
    <t>[0420]공통 요건인 팝업관리기능개선 요건과 동일한 기능(BFE-23330)</t>
    <phoneticPr fontId="3" type="noConversion"/>
  </si>
  <si>
    <t>Biz-147</t>
    <phoneticPr fontId="3" type="noConversion"/>
  </si>
  <si>
    <t>신탁 상품 검색옵션 다양화</t>
    <phoneticPr fontId="29" type="noConversion"/>
  </si>
  <si>
    <t>- 신탁 상품정렬 및 검색옵션의 다양화
  ㅇ 수익률, 위험등급, 신상품 등 단순한 정렬 및 상품명 단순검색 옵션을 다양화 함
  ㅇ 획일화된 상품 디스플레이가 아닌 고객 투자성향별, 나이별 맞춤형 상품 디스플레이 등 (신탁 포함 전체 비대면 상품에 다양하게 적용)</t>
    <phoneticPr fontId="29" type="noConversion"/>
  </si>
  <si>
    <t>신탁사업부</t>
    <phoneticPr fontId="29" type="noConversion"/>
  </si>
  <si>
    <t>안종현 수석</t>
    <phoneticPr fontId="3" type="noConversion"/>
  </si>
  <si>
    <t>BFE-74050</t>
    <phoneticPr fontId="3" type="noConversion"/>
  </si>
  <si>
    <t>외화 신탁계리 신규 프로세스 개발</t>
    <phoneticPr fontId="3" type="noConversion"/>
  </si>
  <si>
    <t>- 외화 신탁계리 발생 프로세스 개발
  ㅇ 외화상품 신규 프로세스 추가(원화 ELS상품 준용)
       외화 신규 상품으로 외화단위는 USD만 고정으로 진행, 소수점은 두자리까지 노출</t>
    <phoneticPr fontId="3" type="noConversion"/>
  </si>
  <si>
    <t>BFE-74060</t>
    <phoneticPr fontId="3" type="noConversion"/>
  </si>
  <si>
    <t>- 외화 요구불통장 미보유시 외화통장 신규 프로세스 연동 고려 (외화 비대면펀드 참조)
  ㅇ 외화 요구불 계좌 여부 체크하여 미보유 시 외화통장 개설 화면으로 이동</t>
    <phoneticPr fontId="3" type="noConversion"/>
  </si>
  <si>
    <t>보험공제 메뉴 그룹핑</t>
    <phoneticPr fontId="3" type="noConversion"/>
  </si>
  <si>
    <t>보험/공제 메뉴 재그룹화</t>
    <phoneticPr fontId="3" type="noConversion"/>
  </si>
  <si>
    <r>
      <t xml:space="preserve">- 보험/공제 메뉴 재그룹화
  ㅇ </t>
    </r>
    <r>
      <rPr>
        <strike/>
        <sz val="9"/>
        <rFont val="KB금융 본문체 Light"/>
        <family val="3"/>
        <charset val="129"/>
      </rPr>
      <t>신규 관련 상품 안내 통합 화면 제공</t>
    </r>
    <r>
      <rPr>
        <sz val="9"/>
        <rFont val="KB금융 본문체 Light"/>
        <family val="3"/>
        <charset val="129"/>
      </rPr>
      <t xml:space="preserve">  서브메인 화면 정리
     · As-is : 저축보험, 연금보험, 연금저축보험, 변액보험, 보장성보험(질병), 보장성보험(상해), 여행자보험, 화재보험, 추천상품(고객 생애 주기), 간편설계</t>
    </r>
    <phoneticPr fontId="3" type="noConversion"/>
  </si>
  <si>
    <t>IA 최종 확정안에 따른 요건 변경 가능</t>
    <phoneticPr fontId="3" type="noConversion"/>
  </si>
  <si>
    <t>20210113_UIUX(보험공제)_회의록_보험공제 2차요건회의_Ver1.0.docx
20210128_UIUX(보험공제)_회의록_보험공제 3차요건회의_Ver1.0.docx
20210129_UIUX(보험공제)_회의록_보험공제 1차IT회의_Ver1.0.docx</t>
    <phoneticPr fontId="3" type="noConversion"/>
  </si>
  <si>
    <t>노다슬</t>
    <phoneticPr fontId="29" type="noConversion"/>
  </si>
  <si>
    <t>보험/공제</t>
    <phoneticPr fontId="3" type="noConversion"/>
  </si>
  <si>
    <t>박은영 대리/조영빈 대리</t>
    <phoneticPr fontId="3" type="noConversion"/>
  </si>
  <si>
    <t>보험료입금/추가입금 메뉴 통합</t>
    <phoneticPr fontId="3" type="noConversion"/>
  </si>
  <si>
    <t>- 보험료입금/추가입금 메뉴 통합
  ㅇ 보험료입금, 추가납입 보험료 입금 메뉴 통합 (단일 메뉴 內 입금 / 추가입금으로 거래 구분 처리)
  ㅇ 보험료 입금/추가입금은 은행 영업시간에만 진입 가능</t>
    <phoneticPr fontId="3" type="noConversion"/>
  </si>
  <si>
    <t>박은영 대리</t>
    <phoneticPr fontId="3" type="noConversion"/>
  </si>
  <si>
    <t>보장분석 서비스 도입</t>
    <phoneticPr fontId="3" type="noConversion"/>
  </si>
  <si>
    <t>BFE-75020</t>
    <phoneticPr fontId="3" type="noConversion"/>
  </si>
  <si>
    <t>KB 스타뱅킹 방카상품몰 內 '보장분석서비스'도입</t>
    <phoneticPr fontId="3" type="noConversion"/>
  </si>
  <si>
    <t>- (신규)KB스타뱅킹 방카상품몰 內 『보장분석서비스』 도입
 ㅇ생애설계 필수보장인 보장자산에 대한 개인화된 정보제공(신용정보원*)
 ㅇ미가입 필수보장에 대한 방카슈랑스 및 KB생·손보 非방카채널
   상품안내
*신용정보원 고객보험정보 스크래핑은 기반조성시 가능
 (신용정보원 ‘보험신용정보관리규약’에는 은행과 보험신용정보 활용에
 대한 규약이 없음)
→ KB손해보험 보장분석서비스를 In-App Browser 방식으로 제공
-&gt; In-App Browser 방식으로 개발 결정으로 뉴스타뱅킹에서는 베너 제공, 베너 클릭시 KB손해보험 보장분석서비스 연결 기능 제공</t>
    <phoneticPr fontId="3" type="noConversion"/>
  </si>
  <si>
    <t>방카 Unit</t>
    <phoneticPr fontId="3" type="noConversion"/>
  </si>
  <si>
    <r>
      <rPr>
        <sz val="10"/>
        <color rgb="FF0000FF"/>
        <rFont val="KB금융 본문체 Light"/>
        <family val="3"/>
        <charset val="129"/>
      </rPr>
      <t>[0504]</t>
    </r>
    <r>
      <rPr>
        <sz val="10"/>
        <color theme="1"/>
        <rFont val="KB금융 본문체 Light"/>
        <family val="3"/>
        <charset val="129"/>
      </rPr>
      <t xml:space="preserve">조건부승인-&gt;승인
KB손해보험 보장분석서비스 In-App Browser방식으로 제공 
</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</si>
  <si>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
20210222_UIUX(보험공제)_회의록_보험공제 계열사 회의_Ver1.0.docx</t>
    <phoneticPr fontId="3" type="noConversion"/>
  </si>
  <si>
    <t>백장현 차장</t>
    <phoneticPr fontId="3" type="noConversion"/>
  </si>
  <si>
    <t>Biz-095</t>
    <phoneticPr fontId="3" type="noConversion"/>
  </si>
  <si>
    <t>최적추천상품 제공 프로세스 도입</t>
    <phoneticPr fontId="3" type="noConversion"/>
  </si>
  <si>
    <t>BFE-75030</t>
    <phoneticPr fontId="3" type="noConversion"/>
  </si>
  <si>
    <t>최적 추천상품 제공 프로세스 도입</t>
    <phoneticPr fontId="3" type="noConversion"/>
  </si>
  <si>
    <r>
      <t xml:space="preserve">- (개선*)최적 추천상품 제공 프로세스 도입
 ㅇ데이터분석부 로직 활용 (로직 구체화 필요)
</t>
    </r>
    <r>
      <rPr>
        <strike/>
        <sz val="9"/>
        <rFont val="KB금융 본문체 Light"/>
        <family val="3"/>
        <charset val="129"/>
      </rPr>
      <t xml:space="preserve"> ㅇ보험상폼의 상품코드 정리 </t>
    </r>
    <r>
      <rPr>
        <sz val="9"/>
        <rFont val="KB금융 본문체 Light"/>
        <family val="3"/>
        <charset val="129"/>
      </rPr>
      <t xml:space="preserve"> </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</si>
  <si>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phoneticPr fontId="3" type="noConversion"/>
  </si>
  <si>
    <t>상품 정보 內 하드코딩 영역 제거</t>
    <phoneticPr fontId="3" type="noConversion"/>
  </si>
  <si>
    <t>BFE-75040</t>
    <phoneticPr fontId="3" type="noConversion"/>
  </si>
  <si>
    <r>
      <t xml:space="preserve">- </t>
    </r>
    <r>
      <rPr>
        <strike/>
        <sz val="9"/>
        <rFont val="KB금융 본문체 Light"/>
        <family val="3"/>
        <charset val="129"/>
      </rPr>
      <t xml:space="preserve">(개선*)KB스타뱅킹 방카 상품 Line-UP확대가 시급함 
  </t>
    </r>
    <r>
      <rPr>
        <sz val="9"/>
        <rFont val="KB금융 본문체 Light"/>
        <family val="3"/>
        <charset val="129"/>
      </rPr>
      <t>상품정보 內 하드코딩 영역 제거
 ㅇ인터넷뱅킹 및 스타뱅킹의 JSP분리 필요</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</si>
  <si>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phoneticPr fontId="3" type="noConversion"/>
  </si>
  <si>
    <t>Biz-179</t>
    <phoneticPr fontId="3" type="noConversion"/>
  </si>
  <si>
    <t>보험상품 리스트 內 간편설계 기능</t>
    <phoneticPr fontId="3" type="noConversion"/>
  </si>
  <si>
    <t>기능</t>
    <phoneticPr fontId="3" type="noConversion"/>
  </si>
  <si>
    <t>BFE-75050</t>
    <phoneticPr fontId="3" type="noConversion"/>
  </si>
  <si>
    <t>- 보험상품 리스트 內 간편설계 기능                                                                                                                                                                                                                                                      ㅇ 입력항목 : 생년월일, 성별 - 출력항목 : 환급률, 월보험료 등
ㅇ 로그인 사용자의 경우 CRM정보 (변경 가능), 비로그인 사용자의 경우 수기 입력
ㅇ 입력항목에 따른 출력항목 값은 어드민에서 수기 관리</t>
    <phoneticPr fontId="3" type="noConversion"/>
  </si>
  <si>
    <t>20210128_UIUX(보험공제)_회의록_보험공제 3차요건회의_Ver1.0.docx
20210129_UIUX(보험공제)_회의록_보험공제 1차IT회의_Ver1.0.docx</t>
    <phoneticPr fontId="3" type="noConversion"/>
  </si>
  <si>
    <t>백장현차장</t>
    <phoneticPr fontId="3" type="noConversion"/>
  </si>
  <si>
    <t>Biz-180</t>
    <phoneticPr fontId="3" type="noConversion"/>
  </si>
  <si>
    <t>보험 어드민 페이지 개선</t>
    <phoneticPr fontId="3" type="noConversion"/>
  </si>
  <si>
    <t>BFE-75060</t>
    <phoneticPr fontId="3" type="noConversion"/>
  </si>
  <si>
    <t>- 보험 어드민 페이지 개선                                                                                                                                                                                                                                                        ㅇ 상품상세 內 보장분석과 같이 HTML로 작업되는 부분을 어드민에서 작업</t>
    <phoneticPr fontId="3" type="noConversion"/>
  </si>
  <si>
    <t>박은영대리와 추가 확인</t>
    <phoneticPr fontId="3" type="noConversion"/>
  </si>
  <si>
    <t>권희영 차장/조영빈 대리/
박은영 대리</t>
    <phoneticPr fontId="3" type="noConversion"/>
  </si>
  <si>
    <t>펀드 추가입금 거래 개선</t>
    <phoneticPr fontId="3" type="noConversion"/>
  </si>
  <si>
    <t>- 추가입금 거래 진행시 계좌비밀번호 입력 유지, 전자서명 생략
  ㅇ 내가 보유한 펀드 입금 거래시에만 적용 (타인 펀드계좌 입금은 현재와 동일)</t>
    <phoneticPr fontId="3" type="noConversion"/>
  </si>
  <si>
    <t>WM상품부</t>
    <phoneticPr fontId="3" type="noConversion"/>
  </si>
  <si>
    <t>20210104_UIUX(펀드)_회의록_펀드 1차 요구사항분석_Ver1.0.docx</t>
    <phoneticPr fontId="3" type="noConversion"/>
  </si>
  <si>
    <t>이정우 대리</t>
    <phoneticPr fontId="3" type="noConversion"/>
  </si>
  <si>
    <t>펀드 상품 검색 기능 개선</t>
    <phoneticPr fontId="3" type="noConversion"/>
  </si>
  <si>
    <t>- 고객이 원하는 정보 (EX. 삼성전자 / 애플 / 원유 등) 검색 시 해당 종목을 보유한 펀드 상품을 검색해 줌
  ㅇ 펀드 상품정보 어드민 등록시 연관 검색어 등록되도록 개선 및 상품 검색시 연관검색어 검색어 검색 되도록 개선
- 상품검색시 대표상품이 검색되도록 구현</t>
    <phoneticPr fontId="3" type="noConversion"/>
  </si>
  <si>
    <t>삭제 관련 현업 협의 예정(~5/31일까지)</t>
    <phoneticPr fontId="3" type="noConversion"/>
  </si>
  <si>
    <t>펀드 상품별 수익률의 다양화 검토</t>
    <phoneticPr fontId="3" type="noConversion"/>
  </si>
  <si>
    <t>- 펀드 상품별 수익률의 다양화 검토
  ㅇ 총투자 수익률 : 해당 펀드 가입 후 전체기간 동안 발생한 수익률
  ㅇ 잔액 수익률  : 현재 펀드계좌에 남아 있는 금액에 대한 수익률
  ㅇ 실현 수익률 : 펀드 일부 환매 시 발생한 수익률</t>
    <phoneticPr fontId="3" type="noConversion"/>
  </si>
  <si>
    <t>펀드 환매 예약 완료화면 내 알림 설정 기능 제공</t>
    <phoneticPr fontId="3" type="noConversion"/>
  </si>
  <si>
    <t>- 펀드 환매 예약 완료화면 內 환매 완료 알림 push 설정 기능 제공</t>
    <phoneticPr fontId="3" type="noConversion"/>
  </si>
  <si>
    <t>Biz-107</t>
    <phoneticPr fontId="3" type="noConversion"/>
  </si>
  <si>
    <t>펀드 조회</t>
    <phoneticPr fontId="3" type="noConversion"/>
  </si>
  <si>
    <t>BFE-76040</t>
    <phoneticPr fontId="3" type="noConversion"/>
  </si>
  <si>
    <t>펀드해지계좌조회, 기준가/수익률 조회 개선</t>
    <phoneticPr fontId="3" type="noConversion"/>
  </si>
  <si>
    <t>- 펀드해지계좌조회 기간 확대
- 기준가/수익률 조회 펀드명 검색 상단 노출 및 펀드명 일부 입력시에도 해당 펀드명 포함되는 펀드 디스플레이 되도록 수정요청</t>
    <phoneticPr fontId="3" type="noConversion"/>
  </si>
  <si>
    <t>20210219_UXUI(펀드)_회의록_펀드_요구사항협의_ver1.0.docx</t>
    <phoneticPr fontId="3" type="noConversion"/>
  </si>
  <si>
    <t>-  안내 및 신규/구매 메뉴통합
  ㅇ KB골드투자통장 신규, KB골드투자통장 안내 통합
  ㅇ 골드바 구매, 골드바 안내
  ㅇ 실버바 구매, 실버바 안내</t>
    <phoneticPr fontId="3" type="noConversion"/>
  </si>
  <si>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phoneticPr fontId="3" type="noConversion"/>
  </si>
  <si>
    <t>골드</t>
    <phoneticPr fontId="3" type="noConversion"/>
  </si>
  <si>
    <t>- 골드계산기 모의계산 결과와 입/출금 거래 실시간 연동
  ㅇ 문제점 : 모의 계산이 가능하지만 모의 계산에 그칠뿐 고객이 실제로 골드 거래(입금, 출금)를 하려면 계산기를 닫고 중량을 입력해야 하는 불편
     · As-is : KB골드투자통장 입금 화면의 중량 입력 부분에 조그맣게 계산기가 있으며, 클릭하면 골드뱅킹 계산기 화면으로 연동됨. 
     · To-be : 모의 계산기 내에서 고객이 계산한 중량을 ‘확인’ 하면 실제 입금(or출금) 중량으로 데이터를 가져올 수 있도록 개선</t>
    <phoneticPr fontId="3" type="noConversion"/>
  </si>
  <si>
    <t>문병구 수석</t>
    <phoneticPr fontId="3" type="noConversion"/>
  </si>
  <si>
    <t>- 골드가격 시세/등록 조회 화면 제공
  ㅇ 시세의 등락이나 시장변화를 직접 한 눈에 알아 볼 수 있도록 그래프 형태의 도식화된 콘텐츠 제공(외환 환율 Dashboard 연계)
  ㅇ 현재 골드/주화 입출금 &gt; KB골드투자통장 입금 화면에 구현되어 있는 형태와 같은 그래프와 동일한 그래프를 골드가격 조회 화면에도 넣는 방향으로 개선</t>
    <phoneticPr fontId="29" type="noConversion"/>
  </si>
  <si>
    <t>- 메뉴 그룹핑 변경
ㅇ 청약종합저축 : 가입, 입금, 자동이체, 과세전환, 소득공제(안내, 등록/해지, 등록여부조회), 청약통장 순위조회
ㅇ 국민주택채권 : 매입, 예약매입 결과조회, 조회/변경/취소, 본인부담금 조회
ㅇ 청약서비스 : 서비스이용안내, 청약통장 순위조회</t>
    <phoneticPr fontId="29" type="noConversion"/>
  </si>
  <si>
    <t>20210107_UIUX(청약채권)_회의록_1차 요구사항분석_ver1.0.docx
20210125_UIUX(청약채권)_회의록_2차 요구사항분석_ver1.0.docx</t>
    <phoneticPr fontId="3" type="noConversion"/>
  </si>
  <si>
    <t>청약/채권</t>
    <phoneticPr fontId="3" type="noConversion"/>
  </si>
  <si>
    <r>
      <t xml:space="preserve">- 주택청약종합저축의 경우 현재도 다른 예적금과 동일하게 프로세스를 따라가고 있음 (추후 예적금 간소화 프로세스가 확정될 경우 동일 내용으로 향후 검토)
- 청약상품 가입 시 </t>
    </r>
    <r>
      <rPr>
        <strike/>
        <sz val="9"/>
        <color theme="1"/>
        <rFont val="KB금융 본문체 Light"/>
        <family val="3"/>
        <charset val="129"/>
      </rPr>
      <t>‘거주지역’</t>
    </r>
    <r>
      <rPr>
        <sz val="9"/>
        <color theme="1"/>
        <rFont val="KB금융 본문체 Light"/>
        <family val="3"/>
        <charset val="129"/>
      </rPr>
      <t>, '희망지역' 입력칸을 고객 CRM 정보로 자동표출 후 고객 수정 가능</t>
    </r>
    <phoneticPr fontId="29" type="noConversion"/>
  </si>
  <si>
    <t>01/26
- ‘희망지역’에 한해 적용하여 3월말SR반영예정, '거주지역' 해당사항없음</t>
    <phoneticPr fontId="3" type="noConversion"/>
  </si>
  <si>
    <t>카드발급</t>
    <phoneticPr fontId="3" type="noConversion"/>
  </si>
  <si>
    <t xml:space="preserve">카드발급 프로세스  개선 </t>
    <phoneticPr fontId="3" type="noConversion"/>
  </si>
  <si>
    <r>
      <t xml:space="preserve">- 카드&gt;발급&gt;카드 만들기 메뉴 프로세스 개선
  ㅇ </t>
    </r>
    <r>
      <rPr>
        <strike/>
        <sz val="9"/>
        <rFont val="KB금융 본문체 Light"/>
        <family val="3"/>
        <charset val="129"/>
      </rPr>
      <t xml:space="preserve">(로그인 후 접속시)주민등록번호 입력 삭제 및 출금 계좌 select, 비번 입력 &gt; 신용 or 체크 선택
</t>
    </r>
    <r>
      <rPr>
        <sz val="9"/>
        <rFont val="KB금융 본문체 Light"/>
        <family val="3"/>
        <charset val="129"/>
      </rPr>
      <t xml:space="preserve">  ㅇ 카드사 웹페이지로 넘어갔을 시, 중복입력되는 항목 최소화
  </t>
    </r>
    <r>
      <rPr>
        <strike/>
        <sz val="9"/>
        <rFont val="KB금융 본문체 Light"/>
        <family val="3"/>
        <charset val="129"/>
      </rPr>
      <t>ㅇ 카드 발급 프로세스 in-App 프로세스 구현</t>
    </r>
    <r>
      <rPr>
        <sz val="9"/>
        <rFont val="KB금융 본문체 Light"/>
        <family val="3"/>
        <charset val="129"/>
      </rPr>
      <t xml:space="preserve">
</t>
    </r>
    <phoneticPr fontId="3" type="noConversion"/>
  </si>
  <si>
    <t>개인여신상품부/
장애림, 오정현, 이동민</t>
    <phoneticPr fontId="3" type="noConversion"/>
  </si>
  <si>
    <t>aS-IS 반영 후 SR 처리</t>
    <phoneticPr fontId="3" type="noConversion"/>
  </si>
  <si>
    <t>20201223_UXUI(상품카드)_회의록_1차요건회의_ver1.0.docx
20210118_UIUX(카드)_회의록_2차요건회의_Ver1.0.docx
20210218_UIUX(카드)_회의록_1차IT요건회의_Ver1.0.docx</t>
    <phoneticPr fontId="3" type="noConversion"/>
  </si>
  <si>
    <t>카드</t>
    <phoneticPr fontId="3" type="noConversion"/>
  </si>
  <si>
    <t>Biz-177</t>
    <phoneticPr fontId="3" type="noConversion"/>
  </si>
  <si>
    <t>KB전자증명서 발급기능 추가</t>
    <phoneticPr fontId="3" type="noConversion"/>
  </si>
  <si>
    <t>KB전자증명서 발급기능 추가</t>
    <phoneticPr fontId="29" type="noConversion"/>
  </si>
  <si>
    <t>- 행정안전부 KB전자증명서 발급기능 추가
  1. 전자증명서 발급 프로세스(안)
     스타뱅킹 로그인 → 전자문서지갑 생성 → 전자증명서 발급 → 조회/제출  
  2. 세부 추가 기능(안)
     가. 전자문서지갑 생성 
        ◦ 스타뱅킹 로그인 후 최초 1회에 한정
     나. 전자문서 발급
        ◦ 발급시 서류는 본인의 전자문서지갑으로 전송
     다. 전자문서 제출
        ◦ 본인 전자문서지갑에서 제출기관으로 전송 
  3. 희망위치 : 고객센터&gt;행정안전부 전자증명서(신설)
※ 벤치마킹: 신한은행 SOL앱 전자문서지갑 기능
※ 참고: 행정안전부 &amp; 6개 시중은행 간 전자문서 
이용활성화 관련 MOU 체결(2020.8.25)
※ 구축현황: [행정안전부] 조회/제출 API 시행중, 발급 API in-App은 2020.11월 예정
                 [당행] 혁신추진부- MyStar단말 내 수취시스템 개발(2020.12월 예정)
--------------------------
'- 전자지갑 프로세스는 구축되어있으나, 변동 및 고도화 있을 것으로 판단
- 전자지갑 프로세스는 디지털 전략부에서 별도 개발진행되나, 스뱅에 들어오게 될 경우In-app으로 진행되게 되므로 규모확장 가능성多 
* 디지털 전략부와 논의중인 요건(21.01월 中 요건확정 예정)</t>
    <phoneticPr fontId="29" type="noConversion"/>
  </si>
  <si>
    <t>이재민 대리님 요청으로 요건 삭제</t>
    <phoneticPr fontId="3" type="noConversion"/>
  </si>
  <si>
    <t>20210104_UIUX(고객센터)_회의록_고객센터 1차 요구사항분석_Ver 1.0.docx
20210208_UXUI(고객센터)_회의록_요건삭제_요구사항분석_ver1.0.docx</t>
    <phoneticPr fontId="3" type="noConversion"/>
  </si>
  <si>
    <t>고객센터</t>
    <phoneticPr fontId="3" type="noConversion"/>
  </si>
  <si>
    <t>고객우대제도 접근경로 개선</t>
    <phoneticPr fontId="3" type="noConversion"/>
  </si>
  <si>
    <t>- 당행 「고객우대제도」 접근경로 개선
  ㅇ 「고객우대제도」 접근경로를 간소화하여 KB스타뱅킹 이용고객 스타클럽 고객화 추친 및 KB금융그룹 우대혜택 체감도 제고 
  ㅇ AS-IS : 홈화면 &gt; 전체메뉴 &gt; 고객센터 &gt; 고객우대제도  &gt; KB스타클럽 / KB스타클럽 우대서비스 / KB스타드림 서비스 / KB마에스트로 서비스
  ㅇ TO-BE : 홈화면 &gt; 고객우대제도 &gt; KB스타클럽 우대서비스 등의 다양한 KB금융그룹 우대서비스
  ㅇ 타행 대비 고객등급 및 우대혜택 확인이 어려워 메뉴안내 요청 문의가 상당함
      · (타행비교) 신한은행 SOL &gt; (오른쪽 상단) 마이페이지 &gt; “탑스클럽등급”</t>
    <phoneticPr fontId="29" type="noConversion"/>
  </si>
  <si>
    <t>개인고객부</t>
    <phoneticPr fontId="29" type="noConversion"/>
  </si>
  <si>
    <t>20210104_UIUX(고객센터)_회의록_고객센터 1차 요구사항분석_Ver 1.0.docx</t>
    <phoneticPr fontId="3" type="noConversion"/>
  </si>
  <si>
    <t>메인</t>
    <phoneticPr fontId="3" type="noConversion"/>
  </si>
  <si>
    <t>BFE-80020</t>
    <phoneticPr fontId="3" type="noConversion"/>
  </si>
  <si>
    <t>전자금융 비대면 신설</t>
    <phoneticPr fontId="3" type="noConversion"/>
  </si>
  <si>
    <r>
      <t xml:space="preserve">- 영업점에서만 제공되는 거래 비대면 신설(단계적 진행)
   ㅇ 전자금융 : </t>
    </r>
    <r>
      <rPr>
        <strike/>
        <sz val="9"/>
        <color theme="1"/>
        <rFont val="KB금융 본문체 Light"/>
        <family val="3"/>
        <charset val="129"/>
      </rPr>
      <t>OTP/보안카드 → 무매체 전환</t>
    </r>
    <r>
      <rPr>
        <sz val="9"/>
        <color theme="1"/>
        <rFont val="KB금융 본문체 Light"/>
        <family val="3"/>
        <charset val="129"/>
      </rPr>
      <t xml:space="preserve">, OTP 보정거래, </t>
    </r>
    <r>
      <rPr>
        <strike/>
        <sz val="9"/>
        <color theme="1"/>
        <rFont val="KB금융 본문체 Light"/>
        <family val="3"/>
        <charset val="129"/>
      </rPr>
      <t xml:space="preserve">이용(폰/PC) 지정서비스 일괄해지, 지연이체서비스 해지
</t>
    </r>
    <r>
      <rPr>
        <sz val="9"/>
        <color theme="1"/>
        <rFont val="KB금융 본문체 Light"/>
        <family val="3"/>
        <charset val="129"/>
      </rPr>
      <t xml:space="preserve">
[검토사항]
기업뱅킹에 이미 해당 서비스 존재.
메뉴 슬림화를 고려하여 별도 메뉴로 구성하지 않고, 필요에 따라 프로세스 중 제공하는 형태로 적용
상세 화면설계서 작업으로 구체화</t>
    </r>
    <phoneticPr fontId="29" type="noConversion"/>
  </si>
  <si>
    <t>박준규</t>
    <phoneticPr fontId="29" type="noConversion"/>
  </si>
  <si>
    <t>디지털공통플랫폼부</t>
    <phoneticPr fontId="3" type="noConversion"/>
  </si>
  <si>
    <t>윤순영 차장</t>
    <phoneticPr fontId="3" type="noConversion"/>
  </si>
  <si>
    <t>SMS 당행 발송여부 검증</t>
    <phoneticPr fontId="3" type="noConversion"/>
  </si>
  <si>
    <t>BFE-80030</t>
    <phoneticPr fontId="3" type="noConversion"/>
  </si>
  <si>
    <t>SMS 당행 발송 검증 메뉴 신설</t>
    <phoneticPr fontId="3" type="noConversion"/>
  </si>
  <si>
    <t>- 스미싱을 통한 고객피해사례 급증으로 SMS 당행 발송 검증 메뉴 신설
   ㅇ 검증대상 SMS(전화번호) 가져오기 통해 당행 SMS이력DB와 비교 검증
   ㅇ 고객이 문자메시지 선택 시 스타뱅킹과 연동하여 당행 발송 여부 검증</t>
    <phoneticPr fontId="3" type="noConversion"/>
  </si>
  <si>
    <t>정보보안 플랫폼부 이민욱 차장 삭제요청
(도입대비 실효성 부족)</t>
    <phoneticPr fontId="3" type="noConversion"/>
  </si>
  <si>
    <t>20210222_UXUI(정보보호부)_회의록_요구사항분석_SMS당행발송여부검증_ver1.0.docx</t>
    <phoneticPr fontId="3" type="noConversion"/>
  </si>
  <si>
    <t>이채우</t>
    <phoneticPr fontId="3" type="noConversion"/>
  </si>
  <si>
    <t xml:space="preserve"> 이민욱 차장</t>
    <phoneticPr fontId="3" type="noConversion"/>
  </si>
  <si>
    <t>BFE-81000</t>
    <phoneticPr fontId="3" type="noConversion"/>
  </si>
  <si>
    <t>스마트출금 개선</t>
    <phoneticPr fontId="3" type="noConversion"/>
  </si>
  <si>
    <t>① 사용자 관점의 간편거래로 개편 (등록 계좌 목록 통합 &gt; 계좌에 창구출금/ATM출금 버튼으로 분기)
    ㅇ As-is : 거래별 메뉴 별도 존재 &gt; 거래 선택&gt; 계좌 선택
    ㅇ To-be : 통합 메뉴 &gt; 계좌선택 &gt; 거래 선택 
         ※ 리브 간편입출금 참고   
② 스마트창구출금 제공 범위 확대 (모바일통장 출금 삭제)
     ㅇ 스마트창구출금일 경우 요구불외 펀드, 신탁계좌 지원 / 스마트ATM출금일 경우 요구불계좌만 가능
     ㅇ 모바일통장 화면에서 버튼 삭제 (창구출금, ATM출금)
③ 스마트출금 등록시 보안매체 생략(정보보호부 확인)</t>
    <phoneticPr fontId="3" type="noConversion"/>
  </si>
  <si>
    <t>김명환</t>
    <phoneticPr fontId="3" type="noConversion"/>
  </si>
  <si>
    <t>영업점</t>
    <phoneticPr fontId="3" type="noConversion"/>
  </si>
  <si>
    <t>BFE-81020</t>
    <phoneticPr fontId="3" type="noConversion"/>
  </si>
  <si>
    <t>스마트출금 등록 알림(Push)</t>
    <phoneticPr fontId="3" type="noConversion"/>
  </si>
  <si>
    <r>
      <t xml:space="preserve">① 서비스에 계좌가 미등록되어 있을 경우 서비스 등록 즉시 연계 + 창구출금, Atm출금 일괄 등록
     ㅇ As-is : 스마트창구출금 계좌 등록 시 스타알림(나의 보안정보 알림) 등록 PUSH 발송 / 스마트atm출금 미발송중 
     ㅇ To-be : 서비스 일괄 등록 후 PUSH 발송 (창구출금, atm출금 내용 모두 포함) 
          (일괄등록인 경우) 홍길동님 MM/DD 00:00 KB스마트출금(창구/ATM) 이용등록 되었습니다. 등록계좌번호 123456-**-***789 
=&gt; </t>
    </r>
    <r>
      <rPr>
        <strike/>
        <sz val="9"/>
        <color rgb="FFFF0000"/>
        <rFont val="KB금융 본문체 Light"/>
        <family val="3"/>
        <charset val="129"/>
      </rPr>
      <t>알림회의 시 스마트출금 현업담당자참석하여 협의예정</t>
    </r>
    <r>
      <rPr>
        <sz val="9"/>
        <color rgb="FFFF0000"/>
        <rFont val="KB금융 본문체 Light"/>
        <family val="3"/>
        <charset val="129"/>
      </rPr>
      <t xml:space="preserve">
-&gt; 요건 삭제 / 사유 : 알림발송대상요건에 추가( 발송대상목록내 스마트출금알림 추가) 
    근거문서 :  New 스타뱅킹 알림 콘텐츠 요구사항정의_v0.98.xlsx 내 스마트출금 알림 포함
     20210216_UIUX(알림)_회의록_스마트지방세 요건 협의_Ver1.0.docx </t>
    </r>
    <phoneticPr fontId="29" type="noConversion"/>
  </si>
  <si>
    <t>-푸쉬발송방식 : Public방식, New스뱅/스타알림 멀티채널
- 스마트출금 등록알림(Push) : 삭제키로 협의함(상세내용회의록참조)</t>
    <phoneticPr fontId="3" type="noConversion"/>
  </si>
  <si>
    <t>20201224_UIUX(영업점)_회의록_영업점 1차 요구사항분석_Ver 1.0.docx
20210205_UIUX(출금)_회의록_요구사항 내용추가 확인_Ver 1.0.docx
20210216_UIUX(알림)_회의록_스마트지방세 요건 협의_Ver1.0.docx
New 스타뱅킹 알림 콘텐츠 요구사항정의_v0.98.xlsx</t>
    <phoneticPr fontId="3" type="noConversion"/>
  </si>
  <si>
    <t>나미은</t>
    <phoneticPr fontId="3" type="noConversion"/>
  </si>
  <si>
    <t>알림</t>
    <phoneticPr fontId="3" type="noConversion"/>
  </si>
  <si>
    <t xml:space="preserve"> 김홍윤팀장, 정현석대리, 유승완 대리</t>
    <phoneticPr fontId="3" type="noConversion"/>
  </si>
  <si>
    <t>오의택 대리</t>
    <phoneticPr fontId="3" type="noConversion"/>
  </si>
  <si>
    <t>BFE-81060</t>
    <phoneticPr fontId="3" type="noConversion"/>
  </si>
  <si>
    <t>모바일 현금카드 개선</t>
    <phoneticPr fontId="3" type="noConversion"/>
  </si>
  <si>
    <r>
      <rPr>
        <strike/>
        <sz val="9"/>
        <color rgb="FFFF0000"/>
        <rFont val="KB금융 본문체 Light"/>
        <family val="3"/>
        <charset val="129"/>
      </rPr>
      <t xml:space="preserve">① 모바일현금카드 등록시 보안매체 생략 </t>
    </r>
    <r>
      <rPr>
        <sz val="9"/>
        <color rgb="FFFF0000"/>
        <rFont val="KB금융 본문체 Light"/>
        <family val="3"/>
        <charset val="129"/>
      </rPr>
      <t xml:space="preserve">
      -&gt; 요건 삭제 / 회의록 (20201230_UIUX(영업점)_회의록_영업점 2차 요구사항분석_Ver 1.0.docx)
</t>
    </r>
    <phoneticPr fontId="29" type="noConversion"/>
  </si>
  <si>
    <t>‘모바일 현금카드의 보안매체’는 현행 유지로 결정되어 요구사항 삭제키로협의됨(상세내용은 회의록 참조)</t>
    <phoneticPr fontId="3" type="noConversion"/>
  </si>
  <si>
    <t>20201230_UIUX(영업점)_회의록_영업점 2차 요구사항분석_Ver 1.0.docx</t>
    <phoneticPr fontId="3" type="noConversion"/>
  </si>
  <si>
    <t>이재민 대리</t>
    <phoneticPr fontId="3" type="noConversion"/>
  </si>
  <si>
    <t>Biz-154</t>
    <phoneticPr fontId="3" type="noConversion"/>
  </si>
  <si>
    <t>편의점 ATM찾기</t>
    <phoneticPr fontId="3" type="noConversion"/>
  </si>
  <si>
    <t>BFE-81080</t>
    <phoneticPr fontId="3" type="noConversion"/>
  </si>
  <si>
    <t>편의점 ATM찾기 추가</t>
    <phoneticPr fontId="3" type="noConversion"/>
  </si>
  <si>
    <t xml:space="preserve">① 내년 1분기 스타뱅킹에 편의점ATM 찾기 반영 예정 (채널지원부) – 동일한 내용으로 뉴스타뱅킹에 준용
      ㅇ 지점/자동화기기찾기 화면에서 제공 
       ※ 리브 편의점 ATM찾기 참고 
</t>
    <phoneticPr fontId="3" type="noConversion"/>
  </si>
  <si>
    <t>채널지원부</t>
    <phoneticPr fontId="3" type="noConversion"/>
  </si>
  <si>
    <t>BFE-81100</t>
    <phoneticPr fontId="3" type="noConversion"/>
  </si>
  <si>
    <t>지점/자동화기기찾기 개선</t>
    <phoneticPr fontId="3" type="noConversion"/>
  </si>
  <si>
    <r>
      <t xml:space="preserve">① </t>
    </r>
    <r>
      <rPr>
        <strike/>
        <sz val="9"/>
        <color theme="1"/>
        <rFont val="KB금융 본문체 Light"/>
        <family val="3"/>
        <charset val="129"/>
      </rPr>
      <t>대기고객 없는 창구 : 번호표 발행 불가 사유에 대한 충분한 안내</t>
    </r>
    <r>
      <rPr>
        <sz val="9"/>
        <color theme="1"/>
        <rFont val="KB금융 본문체 Light"/>
        <family val="3"/>
        <charset val="129"/>
      </rPr>
      <t xml:space="preserve"> (삭제)
      -&gt; 대기고객 0명이라도 번호표 발행 가능하도록 개선됨 
          (SR반영 - 모바일번호표 프로세스 개선)
② </t>
    </r>
    <r>
      <rPr>
        <strike/>
        <sz val="9"/>
        <color theme="1"/>
        <rFont val="KB금융 본문체 Light"/>
        <family val="3"/>
        <charset val="129"/>
      </rPr>
      <t>위치기반 일정 거리 이내의 지점에 대해서만 번호표 발행 지원</t>
    </r>
    <r>
      <rPr>
        <sz val="9"/>
        <color theme="1"/>
        <rFont val="KB금융 본문체 Light"/>
        <family val="3"/>
        <charset val="129"/>
      </rPr>
      <t xml:space="preserve"> (삭제)
③ 1인 1번호표 발행 제한 : 중복/과다한 번호표 발행 방지, </t>
    </r>
    <r>
      <rPr>
        <strike/>
        <sz val="9"/>
        <color theme="1"/>
        <rFont val="KB금융 본문체 Light"/>
        <family val="3"/>
        <charset val="129"/>
      </rPr>
      <t>로그아웃일 경우 번호표 발행 제한</t>
    </r>
    <r>
      <rPr>
        <sz val="9"/>
        <color theme="1"/>
        <rFont val="KB금융 본문체 Light"/>
        <family val="3"/>
        <charset val="129"/>
      </rPr>
      <t xml:space="preserve"> (삭제)
    - 1인 1번호표 발행 제한에 대한 안내창 제공
       "기존 발행한 번호표가 있습니다. 기존 번호표를 취소하고 새로 발행하시겠습니까?"
    - 로그아웃일 경우 번호표 발행 불가능 (현재 적용 중)
④ 지점/자동화기기찾기 화면상 검색된 결과 STM 보유여부 노출
     ㅇ 지점/자동화기기찾기 목록에 라벨형태로 제공
     ㅇ 지점/자동화기기 찾기 화면에서 영업점 특성별 조회, 정렬기능 적용 검토
⑤ ’가까운지점’ 검색 결과 나열시 번호표발행 버튼 옆 지점별/업무별 대기고객수 노출
⑥ 지점/자동화기기 찾기, 내가 발행한 번호표 보기 메뉴  통합 기능 제공
       ㅇ 발행한 번호표가 있는 경우 해당 화면 內 표시
⑦ </t>
    </r>
    <r>
      <rPr>
        <strike/>
        <sz val="9"/>
        <color theme="1"/>
        <rFont val="KB금융 본문체 Light"/>
        <family val="3"/>
        <charset val="129"/>
      </rPr>
      <t>점포 세부 정보 (동전교환기, 외화 ATM,  주차정보 등) 제공</t>
    </r>
    <r>
      <rPr>
        <sz val="9"/>
        <color theme="1"/>
        <rFont val="KB금융 본문체 Light"/>
        <family val="3"/>
        <charset val="129"/>
      </rPr>
      <t xml:space="preserve"> (삭제)
</t>
    </r>
    <phoneticPr fontId="3" type="noConversion"/>
  </si>
  <si>
    <t>20201230_UIUX(영업점)_회의록_영업점 2차 요구사항분석_Ver 1.0.docx
20210208_UIUX(지점찾기)_회의록_요구사항변경 확인_Ver 1.0.docx</t>
    <phoneticPr fontId="3" type="noConversion"/>
  </si>
  <si>
    <t>영업플랫폼부</t>
    <phoneticPr fontId="3" type="noConversion"/>
  </si>
  <si>
    <t>이지용, 박채수</t>
    <phoneticPr fontId="3" type="noConversion"/>
  </si>
  <si>
    <t>지점/자동화기기찾기 - 어드민 개선</t>
    <phoneticPr fontId="3" type="noConversion"/>
  </si>
  <si>
    <r>
      <t xml:space="preserve">① 영업점 관리를 위한 어드민 수정
 1) 점포기본정보에 STM 보유여부 항목 추가   
</t>
    </r>
    <r>
      <rPr>
        <strike/>
        <sz val="9"/>
        <color theme="1"/>
        <rFont val="KB금융 본문체 Light"/>
        <family val="3"/>
        <charset val="129"/>
      </rPr>
      <t xml:space="preserve"> 2) 점포 세부 정보 (동전교환기, 외화 ATM, 주차정보 등)  </t>
    </r>
    <r>
      <rPr>
        <sz val="9"/>
        <color theme="1"/>
        <rFont val="KB금융 본문체 Light"/>
        <family val="3"/>
        <charset val="129"/>
      </rPr>
      <t xml:space="preserve">
</t>
    </r>
    <phoneticPr fontId="29" type="noConversion"/>
  </si>
  <si>
    <t>Biz-005</t>
    <phoneticPr fontId="29" type="noConversion"/>
  </si>
  <si>
    <t>모바일웹 SSO 제공</t>
    <phoneticPr fontId="29" type="noConversion"/>
  </si>
  <si>
    <t>BFE-81130</t>
    <phoneticPr fontId="3" type="noConversion"/>
  </si>
  <si>
    <r>
      <t xml:space="preserve">- 스타뱅킹 &lt;-&gt; 모바일웹(omweb) SSO 연동 제공 
  ㅇ [The-K] 채널간 SSO 활용
--------------------------------------------
</t>
    </r>
    <r>
      <rPr>
        <strike/>
        <sz val="10"/>
        <color rgb="FFFF0000"/>
        <rFont val="KB금융 본문체 Light"/>
        <family val="3"/>
        <charset val="129"/>
      </rPr>
      <t>- 모바일웹 「신청서미리작성」시 본인인증 절차 간소화
  ㅇ 대상고객 : 온라인번호표 발급 고객
  ㅇ 스타뱅킹 內 온라인번호표 발급 후 「KB모바일 신청서 미리 작성」 서비스 웹 연계시 로그인 정보 세션 유지(SSO 연동)를 통해 ① 번호표 입력, ② 휴대폰 본인인증 절차 생략</t>
    </r>
    <phoneticPr fontId="29" type="noConversion"/>
  </si>
  <si>
    <t>[0420][The-K] 채널간 SSO 활용 - 전문위원에서 진행중, omweb은 본 사업범위 제외(김원용 수석)</t>
    <phoneticPr fontId="3" type="noConversion"/>
  </si>
  <si>
    <t>20210202_UIUX(영업점)_회의록_요구사항삭제 확인_Ver 1.0.docx</t>
    <phoneticPr fontId="3" type="noConversion"/>
  </si>
  <si>
    <t>BFE-81140</t>
    <phoneticPr fontId="3" type="noConversion"/>
  </si>
  <si>
    <t>스타샷 - 스마트출금 관리</t>
    <phoneticPr fontId="3" type="noConversion"/>
  </si>
  <si>
    <t>- 스타샷과 변경/신고/재발급 각 동일 기능 메뉴 통폐합
  ㅇ 등록/변경 : (⑩ 스마트창구출금 등록,  ⑪ 스마트창구출금 해제, ⑫ 스마트ATM출금 등록, ⑬ 스마트ATM출금 해제)</t>
    <phoneticPr fontId="29" type="noConversion"/>
  </si>
  <si>
    <t>영업점</t>
    <phoneticPr fontId="29" type="noConversion"/>
  </si>
  <si>
    <t>맞춤 마케팅</t>
    <phoneticPr fontId="29" type="noConversion"/>
  </si>
  <si>
    <t>BFE-82000</t>
    <phoneticPr fontId="3" type="noConversion"/>
  </si>
  <si>
    <t>EBM기반 맞춤형 마케팅 노출</t>
    <phoneticPr fontId="3" type="noConversion"/>
  </si>
  <si>
    <r>
      <t xml:space="preserve">- EBM기반 맞춤형 마케팅 노출
   ㅇ 마케팅용 Floating 배너 제공 - 인프라(EY한영)
</t>
    </r>
    <r>
      <rPr>
        <strike/>
        <sz val="9"/>
        <color rgb="FFFF0000"/>
        <rFont val="KB금융 본문체 Light"/>
        <family val="3"/>
        <charset val="129"/>
      </rPr>
      <t xml:space="preserve">   ㅇ 푸시 수신 동의여부에 따라 개인화 맞춤 이벤트 노출 
   ㅇ 고객별 상황에 맞는 시즈널 관심 상품 노출 (연말정산 관련 상품 등) 
</t>
    </r>
    <r>
      <rPr>
        <sz val="9"/>
        <color rgb="FFFF0000"/>
        <rFont val="KB금융 본문체 Light"/>
        <family val="3"/>
        <charset val="129"/>
      </rPr>
      <t xml:space="preserve">
[02/22]</t>
    </r>
    <r>
      <rPr>
        <strike/>
        <sz val="9"/>
        <color rgb="FFFF0000"/>
        <rFont val="KB금융 본문체 Light"/>
        <family val="3"/>
        <charset val="129"/>
      </rPr>
      <t xml:space="preserve">
</t>
    </r>
    <r>
      <rPr>
        <sz val="9"/>
        <color rgb="FFFF0000"/>
        <rFont val="KB금융 본문체 Light"/>
        <family val="3"/>
        <charset val="129"/>
      </rPr>
      <t xml:space="preserve">- 네이티브 요건 없음. </t>
    </r>
    <phoneticPr fontId="29" type="noConversion"/>
  </si>
  <si>
    <t>개인마케팅부</t>
    <phoneticPr fontId="29" type="noConversion"/>
  </si>
  <si>
    <t>BFE-12040 업무요건으로 이관</t>
    <phoneticPr fontId="3" type="noConversion"/>
  </si>
  <si>
    <t>20210225_UIUX(이벤트마케팅)_회의록_이벤트마케팅(EBM기반) 요건 회의_Ver 1.0.docx</t>
    <phoneticPr fontId="3" type="noConversion"/>
  </si>
  <si>
    <t>이근정</t>
    <phoneticPr fontId="29" type="noConversion"/>
  </si>
  <si>
    <t>이벤트/마케팅</t>
    <phoneticPr fontId="3" type="noConversion"/>
  </si>
  <si>
    <t>김성학 과장</t>
    <phoneticPr fontId="3" type="noConversion"/>
  </si>
  <si>
    <t>이벤트</t>
    <phoneticPr fontId="29" type="noConversion"/>
  </si>
  <si>
    <t>이벤트 방식 다양화</t>
    <phoneticPr fontId="3" type="noConversion"/>
  </si>
  <si>
    <r>
      <t xml:space="preserve">- 이벤트 방식 다양화
</t>
    </r>
    <r>
      <rPr>
        <strike/>
        <sz val="9"/>
        <color theme="1"/>
        <rFont val="KB금융 본문체 Light"/>
        <family val="3"/>
        <charset val="129"/>
      </rPr>
      <t xml:space="preserve">  ㅇ 즉시당첨 확인 및 실시간 경품 지급, 실시간 응모 현황 노출, 모바일 쿠폰 경품 보관함 등 마케팅을 위한 다양한 기반 도입</t>
    </r>
    <r>
      <rPr>
        <sz val="9"/>
        <color theme="1"/>
        <rFont val="KB금융 본문체 Light"/>
        <family val="3"/>
        <charset val="129"/>
      </rPr>
      <t xml:space="preserve">
</t>
    </r>
    <r>
      <rPr>
        <sz val="9"/>
        <color rgb="FF0070C0"/>
        <rFont val="KB금융 본문체 Light"/>
        <family val="3"/>
        <charset val="129"/>
      </rPr>
      <t xml:space="preserve">
(요건정리)
- 'Adbrix, AppsFlyer 등 트래킹 S/W 도입에 따른 적용 지원(page별)</t>
    </r>
    <phoneticPr fontId="29" type="noConversion"/>
  </si>
  <si>
    <t>20210113_UIUX(이벤트마케팅)_회의록_이벤트마케팅 업무 요건 IT 회의_Ver 1.0.docx</t>
    <phoneticPr fontId="3" type="noConversion"/>
  </si>
  <si>
    <t>BFE-82020</t>
    <phoneticPr fontId="3" type="noConversion"/>
  </si>
  <si>
    <t xml:space="preserve">어드민 개발 </t>
    <phoneticPr fontId="3" type="noConversion"/>
  </si>
  <si>
    <t>- 어드민 개발 : 이벤트관리(실시간 이벤트 포함), 응모/당첨/추첨관리 신규 개발
   ⚪ 추첨 대상 파일 버전 업데이트(97-2003 -&gt; xlsx 로 변경)
   ⚪ 기존 어드민 메뉴 일반이벤트, 실시간 이벤트 메뉴 통합(리브똑똑 별도메뉴 포함)
   ⚪ 이벤트 유형 템플릿화 하여 등록가능하도록 구성(ex. 일반, 선착순, 실시간, 출석부형, 룰렛형 등)
   ⚪ 이벤트 등록시 인터넷뱅킹을 선택 사항으로 변경
   ⚪ 이벤트 지원 채널 확대 기반 마련(ex.스타기업뱅킹 추가)
- 쿠프마케팅 업체와의 실시간 경품 발송체계 구축
(요건추가/변경)
 - 이벤트 등록 템플릿화(친구추천, 폐쇄형, 실시간 기반마련)
 - 오픈형 이벤트(미션 스템프형 1회성)
 - 주소등 정보 노출후 고객정보변경화면 연경링크제공
 - 뉴스타뱅킹 오픈시 미션형 이벤트, 폐쇄형 각 한개 이벤트 개발 
      ex. 오픈뱅킹 가입고객 한정(거래는변경가능)</t>
    <phoneticPr fontId="29" type="noConversion"/>
  </si>
  <si>
    <t>20210217_UIUX(이벤트마케팅)_회의록_이벤트마케팅 업무 요건 IT 3차 회의_Ver 1.0.docx</t>
    <phoneticPr fontId="3" type="noConversion"/>
  </si>
  <si>
    <t>Biz-176</t>
    <phoneticPr fontId="3" type="noConversion"/>
  </si>
  <si>
    <t>비대면 리워드 프로그램 신설</t>
    <phoneticPr fontId="3" type="noConversion"/>
  </si>
  <si>
    <r>
      <rPr>
        <strike/>
        <sz val="9"/>
        <color theme="1"/>
        <rFont val="KB금융 본문체 Light"/>
        <family val="3"/>
        <charset val="129"/>
      </rPr>
      <t xml:space="preserve">- 스타뱅킹 지속 거래 유도 및 로열티 증대를 위한 비대면 리워드 프로그램 신설
   ㅇ 앱 內 특정 거래 시 포인트를 적립하고 적립된 포인트로 룰렛 참여 및 경품 당첨 지급
- 실시간 연계
   ㅇ 거래기반 실시간 연계
   ㅇ 고객의 실시간 검색
   ㅇ LiivMate 포인트리 연계 (KB국민카드 API 거래 등 협의에 따라 의사결정)
- Push 발송
   ㅇ 월별 미달성 조건 보유 고객 대상 참여 Push 자동 발송
   ㅇ 참여기회 미사용 고객 대상 참여 유도 Push 자동 발송
   ㅇ 시즌별 이벤트 시행 안내 Push 발송
- 관리자 기능
  ㅇ 고객 모니터링, 리워드 관리, 당첨 확률 설정 및 통제 등
</t>
    </r>
    <r>
      <rPr>
        <sz val="9"/>
        <color theme="1"/>
        <rFont val="KB금융 본문체 Light"/>
        <family val="3"/>
        <charset val="129"/>
      </rPr>
      <t xml:space="preserve">
</t>
    </r>
    <r>
      <rPr>
        <sz val="9"/>
        <color rgb="FF0070C0"/>
        <rFont val="KB금융 본문체 Light"/>
        <family val="3"/>
        <charset val="129"/>
      </rPr>
      <t>(요건지연)
- 더드림존, 영업기획부에서 3월말 개발 완료 예정, 4월 중순경 요건정리하여 구체화 필요</t>
    </r>
    <phoneticPr fontId="29" type="noConversion"/>
  </si>
  <si>
    <t>요건 최종 내용으로 재반영(더드림존 SR반영 및 추가요건으로 의사결정)</t>
    <phoneticPr fontId="3" type="noConversion"/>
  </si>
  <si>
    <t>Biz-156</t>
    <phoneticPr fontId="3" type="noConversion"/>
  </si>
  <si>
    <t>이벤트·쿠폰존</t>
    <phoneticPr fontId="29" type="noConversion"/>
  </si>
  <si>
    <t>BFE-82040</t>
    <phoneticPr fontId="3" type="noConversion"/>
  </si>
  <si>
    <t>제휴사 홍보를 위한 쿠폰정보 제공</t>
    <phoneticPr fontId="29" type="noConversion"/>
  </si>
  <si>
    <t>- My페이지 - 고객등급별 혜택정보 영역에서 제휴사 홍보를 위한 쿠폰정보 제공 (쿠폰 예시 : 인천공항 발렛파킹, 유학상담비 면제 등)</t>
    <phoneticPr fontId="3" type="noConversion"/>
  </si>
  <si>
    <t>[0420]BFE-82010 중복으로 삭제</t>
    <phoneticPr fontId="3" type="noConversion"/>
  </si>
  <si>
    <t>20210223_UIUX(이벤트마케팅)_회의록_외환이벤트마케팅 업무 요건 회의_Ver 1.0.docx</t>
    <phoneticPr fontId="3" type="noConversion"/>
  </si>
  <si>
    <t>황인태 차장
정광환 대리</t>
    <phoneticPr fontId="3" type="noConversion"/>
  </si>
  <si>
    <t>Biz-082</t>
    <phoneticPr fontId="3" type="noConversion"/>
  </si>
  <si>
    <t>DC 운용지시 간소화</t>
    <phoneticPr fontId="29" type="noConversion"/>
  </si>
  <si>
    <t>BFE-82050</t>
    <phoneticPr fontId="3" type="noConversion"/>
  </si>
  <si>
    <t>- 사전 노사합의사항으로 특정상품 또는 포트폴리오 지정된 경우, 운용지시비율 등록 간소화
  ㅇ DC가입 &gt; 운용지시 단계 진입 시 사전합의된 운용지시비율로 자동 등록 선택기능 부여
  ㅇ [프로세스] 퇴직연금 신규화면(대상상품에서 DC선택) -&gt; (DC대상인 경우)가입할 회사 선택 -&gt; 기본정보 등록 -&gt; (요구불 통합신규인 경우, 요구불신규 진행) -&gt; 운용비율 등록(사전합의된 운용지시비율이 있을 경우, 해당 포트폴리오로 등록할지 확인) -&gt; 예금자보호/약관/상품설명서 확인 -&gt; DC가입 완료 
* 사전 노사합의된 운용지시비율 등록 여부에 ‘아니오’ 선택할 경우, 일반 운용지시비율 등록화면 진행
※ DC가입 계약서 서식 개정, MyStar단말 변경, 법적이슈 점검 필요 (연금기획부 주관)</t>
    <phoneticPr fontId="29" type="noConversion"/>
  </si>
  <si>
    <t>20210115_UIUX(퇴직연금)_회의록_퇴직연금 업무 요건 회의(삭제요건)_Ver 1.0.docx</t>
    <phoneticPr fontId="3" type="noConversion"/>
  </si>
  <si>
    <t>알림 기능 추가</t>
    <phoneticPr fontId="29" type="noConversion"/>
  </si>
  <si>
    <t>BFE-84000</t>
    <phoneticPr fontId="3" type="noConversion"/>
  </si>
  <si>
    <t>알림 발송 대상</t>
    <phoneticPr fontId="29" type="noConversion"/>
  </si>
  <si>
    <r>
      <rPr>
        <strike/>
        <sz val="9"/>
        <color theme="1"/>
        <rFont val="KB금융 본문체 Light"/>
        <family val="3"/>
        <charset val="129"/>
      </rPr>
      <t>- 알림 기능 신설 범위 (모든 알림은 로그인 고객정보 기준 제공)
  ㅇ 입출금 : 입출금 알림, 입출금 리포트
  ㅇ 금융정보 : 상품만기일, 자동이체, 투자수익률, KB증권, 여신정보, 개인연금 안내(연금저축), 퇴직연금 안내(DC/IRP), KB스마트 지방세·세외수입, 맞춤환율 정보, 지정통화 환율 알림, 조건변경 안내, 펀드관련 알림(펀드 환매 고객에 특성에 맞는 상품 (수익 실현 시 가입한 상품과 유사한 상품, 손실 환매 시 추천펀드 등) 안내를 통해 재가입 유치)
  ㅇ 보안정보 : 로그인 안내, ATM잔액조회 안내, 뱅킹 주요변동사항 안내, KB금융그룹 내 고객정보 제공안내, 연동인증, 안심스위치관련 정보
  ㅇ My알림 : 영업점 메시지 안내, KB스타클럽 등급 안내, 직원 명함 발송, 온라인번호표 대기고객안내, 채팅상담 안내
  ㅇ 기일관리 알림 제공 : 금융캘린더 內 수기 등록한 내용에 대한 알림 제공
  ㅇ 이벤트(어드민 등록시 알림 제공), 상품 추천 등</t>
    </r>
    <r>
      <rPr>
        <sz val="9"/>
        <color theme="1"/>
        <rFont val="KB금융 본문체 Light"/>
        <family val="3"/>
        <charset val="129"/>
      </rPr>
      <t xml:space="preserve">
-----------------------------------------------------------------------------------</t>
    </r>
    <r>
      <rPr>
        <sz val="9"/>
        <rFont val="KB금융 본문체 Light"/>
        <family val="3"/>
        <charset val="129"/>
      </rPr>
      <t xml:space="preserve">-----
=&gt; Push 수신 동의 그룹 항목과 그룹내 세부 항목에 대해서는 별도 정의
New 스타뱅킹에서 수신 동의 완료된 대상 항목에 대해서는 스타뱅킹으로만 수신
New KB스타뱅킹 앱 삭제시 기존 스타뱅킹 수신 동의 사용자는 스타뱅킹으로만 Push 수신됨으로 스타알림으로는 알림 발송이 되지 않음
-&gt; 스타뱅킹 신규 재 설치 전까진 알림 수신 불가. 재 로그인 후 신규 토큰값 셋팅
각 수신 대상 항목, 발송 시점, 보관 시점등에 대해서는 현업 자료로 최종 확인
-&gt; 발송대상목록 : New 스타뱅킹 알림 콘텐츠 요구사항정의_v0.98.xlsx  
-&gt; 스마트출금 등록 알림(Push) 요건 포함 : 20210216_UIUX(알림)_회의록_스마트지방세 요건 협의_Ver1.0.docx
=&gt; 발송개선 : 20210222_UIUX(알림)_회의록_Push 도달률 체크회의_Ver1.0.docx
    1. 모바일DM 개선 - 분류코드 구글가이드 표준 공통 푸시규격으로 변경(-&gt;오의택대리/정현석 대리) 
    2. 푸시 Noti에서 이미지 수신(네이티브) - 마케팅 이벤트 당첨 알림 업무만 이미지 수신(마케팅 관련 알림 업무에 우선 적용 검토예정) (-&gt;김원용 수석)
    3. Push 메시지 내 GIF파일 사용할 수 있도록 개선(-&gt;오의택 대리) : 20210226_UIUX(알림)_회의록_Push 도달률 체크 IT 2차 회의_Ver1.0.docx
-&gt; [03/08] 마이핏 알림 요건 구체화 회의 진행 
   근거문서 : 20210308_UIUX(알림)_회의록_마이핏 알림 요건 구체화 회의 _Ver1.0.docx
-&gt; [03/09] 보안 알림 요건 구체화 회의 진행
   근거문서 : 20210309_UIUX(알림)_회의록_보안 알림 요건 구체화 회의 _Ver1.0.docx
</t>
    </r>
    <phoneticPr fontId="29" type="noConversion"/>
  </si>
  <si>
    <r>
      <t xml:space="preserve">20201223_UIUX(알림함)_회의록_1차 요건회의_ver1.0.docx
20210216_UIUX(알림)_회의록_스마트지방세 요건 협의_Ver1.0.docx
</t>
    </r>
    <r>
      <rPr>
        <sz val="9"/>
        <rFont val="KB금융 본문체 Light"/>
        <family val="3"/>
        <charset val="129"/>
      </rPr>
      <t>20210226_UIUX(알림)_회의록_Push 도달률 체크 IT 2차 회의_Ver1.0.docx
20210308_UIUX(알림)_회의록_마이핏 알림 요건 구체화 회의 _Ver1.0.docx
20210309_UIUX(알림)_회의록_보안 알림 요건 구체화 회의 _Ver1.0.docx
New 스타뱅킹 알림 콘텐츠 요구사항정의_v0.993_관리용.xlsx</t>
    </r>
    <phoneticPr fontId="29" type="noConversion"/>
  </si>
  <si>
    <t>알림</t>
    <phoneticPr fontId="29" type="noConversion"/>
  </si>
  <si>
    <t>통지: 데이터분석플랫폼부 김홍윤팀장, 정현석대리, 유승완 대리
입출금/마이핏: 코어뱅킹1플랫폼부 강경엽 차장
예적금: 코어뱅킹1플랫폼부 박광용 차장, 왕동현 차장
펀드: 코어뱅킹1플랫폼부 채승훈 차장
신탁: 코어뱅킹1플랫폼부 안종현 수석
여신: 코어뱅킹2플랫폼부 도신희 차장
외환: 코어뱅킹1플랫폼부 진효정 대리
연금: 코어뱅킹1플랫폼부 김영갑 수석
자동이체: 코어뱅킹1플랫폼부 정환기 과장, 이종률 대리
지방세: 코어뱅킹1플랫폼부 임성주 수석
스타클럽: 데이터분석플랫폼부 정태영 대리</t>
    <phoneticPr fontId="3" type="noConversion"/>
  </si>
  <si>
    <t>알림함 內 수신메시지 처리</t>
    <phoneticPr fontId="29" type="noConversion"/>
  </si>
  <si>
    <t>KB명합수첩(고객센터 &gt; 이벤트내 메뉴), 모바일뉴스레터, 스타뱅킹 메시지함 메뉴를 별도로 구성하지 않고, 
 알림함 內 수신메시지 형태로 변경
  ㅇ 알림 대상 콘텐츠는 알림함 內 모두 적재 (개별 Push 동의를 하지 않더라도 알림함에서는 볼 수 있도록 제공)
[02/25]
KB명합수첩(고객센터 &gt; 이벤트내 메뉴) My페이지&gt;내정보관리&gt;KB명함수첩으로 이동
-&gt; 해당 요건은 알림함으로 이동 확정됨</t>
    <phoneticPr fontId="29" type="noConversion"/>
  </si>
  <si>
    <t>20201223_UIUX(알림함)_회의록_1차 요건회의_ver1.0.docx</t>
    <phoneticPr fontId="29" type="noConversion"/>
  </si>
  <si>
    <t>BFE-84002</t>
    <phoneticPr fontId="3" type="noConversion"/>
  </si>
  <si>
    <t>Push 도달률 체크</t>
    <phoneticPr fontId="29" type="noConversion"/>
  </si>
  <si>
    <r>
      <t xml:space="preserve">Push 도달률 체크 기능 제공
</t>
    </r>
    <r>
      <rPr>
        <sz val="9"/>
        <rFont val="KB금융 본문체 Light"/>
        <family val="3"/>
        <charset val="129"/>
      </rPr>
      <t>=&gt; IT 협의 후 최종 결정 예정
-&gt; 2월 22일 IT 협의 예정
-&gt; 2월 22일 회의 내용 :  AS-IS 도달률 기준 정리 -&gt; 수행사 기술검토 -&gt; 검토 내용 25일 회의 진행 예정  
    회의록 : 20210222_UIUX(알림)_회의록_Push 도달률 체크회의_Ver1.0.docx
[02/26] 
0. 회의록 : 20210226_UIUX(알림)_회의록_Push 도달률 체크 IT 2차 회의_Ver1.0.docx
1. 도달률 체크 : 발송서버에 저장할 콜백 URL을 푸쉬 데이터에 포함하여 전달하는 방식
2. 도달 성공 판단 : 클라이언트에서 발송서버에 callback URL을 요청 후 서버에 기록된 경우
    도달 실패 : 그외 서버에 기록되지 않은 경우 (오류 구분 불가)
3. 추가검토내용
   - 발송서버 케파 (ASIS -  Private 기준 1대당 50만 세션)
   - Callback URL DB 적재
   - 뉴스뱅 업무(콘텐츠) 알림 요구 수용 여부
   - 검토내용 3/4(목)오전까지 검토내용 정현석대리 회신
4. 해당 요건은 자원문제로 '조건부승인'처리하기로함.</t>
    </r>
    <phoneticPr fontId="29" type="noConversion"/>
  </si>
  <si>
    <r>
      <rPr>
        <sz val="10"/>
        <color rgb="FF0000FF"/>
        <rFont val="KB금융 본문체 Light"/>
        <family val="3"/>
        <charset val="129"/>
      </rPr>
      <t>[0503]</t>
    </r>
    <r>
      <rPr>
        <sz val="10"/>
        <color theme="1"/>
        <rFont val="KB금융 본문체 Light"/>
        <family val="3"/>
        <charset val="129"/>
      </rPr>
      <t>조건부승인-&gt;승인
(2.22일 요건 확정함. 단, 자원 문제 부분도 이상없음으로 확인 완료함)</t>
    </r>
    <phoneticPr fontId="3" type="noConversion"/>
  </si>
  <si>
    <t>20201223_UIUX(알림함)_회의록_1차 요건회의_ver1.0.docx
20210222_UIUX(알림)_회의록_Push 도달률 체크회의_Ver1.0.docx
20210226_UIUX(알림)_회의록_Push 도달률 체크 IT 2차 회의_Ver1.0.docx</t>
    <phoneticPr fontId="29" type="noConversion"/>
  </si>
  <si>
    <t>권영순
신재현</t>
    <phoneticPr fontId="3" type="noConversion"/>
  </si>
  <si>
    <t>김원용 수석/정현석 대리</t>
    <phoneticPr fontId="3" type="noConversion"/>
  </si>
  <si>
    <t>Biz-150</t>
    <phoneticPr fontId="3" type="noConversion"/>
  </si>
  <si>
    <t>PUSH 수신값 설정</t>
    <phoneticPr fontId="29" type="noConversion"/>
  </si>
  <si>
    <t>- 수신대상 PUSH  콘텐츠별 수신 여부 ON/OFF 체크(스타알림 알림설정 참조)
  ㅇ Push 여부를 Toggle로 선택
=&gt;  PUSH 수신 동의 항목에 대해서는 세부 정의 필요
  ㅇ 방해금지 시간대 설정 
=&gt; 스타알림 방해금지 시간대 기능과 동일
  ㅇ 연동인증 관련 설정 포함
  ㅇ Push설정 산재되어 있는 부분을 한페이지 통합 제공
=&gt; Push 수신 동의 항목은 그룹 항목과 그룹내 세부 항목으로 구분
      연동인증 관련 기능이 각 기능별로 페이지내에 산재되어 있으니 하나의 페이지로 통합 관리하고 기존 각 페이지에서는 링크 기능 제공</t>
    <phoneticPr fontId="29" type="noConversion"/>
  </si>
  <si>
    <t>20201223_UIUX(알림함)_회의록_1차 요건회의_ver1.0.docx
20210216_UIUX(알림)_회의록_스마트지방세 요건 협의_Ver1.0.docx</t>
    <phoneticPr fontId="29" type="noConversion"/>
  </si>
  <si>
    <t>미확인 PUSH 확인용 앱 뱃지 지원</t>
    <phoneticPr fontId="29" type="noConversion"/>
  </si>
  <si>
    <t>비기능</t>
    <phoneticPr fontId="3" type="noConversion"/>
  </si>
  <si>
    <r>
      <t xml:space="preserve">- 스타뱅킹 앱 아이콘에 미확인 PUSH 확인용 뱃지 제공
  ㅇ 카운트 없이 앱 여는 것으로 뱃지 초기화 (現스타알림 방식)
  ㅇ 메시지별 확인여부 표시 (색상이나 위치 등)
  ㅇ 앱아이콘(1)표시, 앱내(메시지 수)로 표시
---------------------------------------------------------------------------
=&gt; 앱 아이콘 뱃지 노출
     앱 아이콘 뱃지에 미 수신 메시지 존재시 "1+" 형태로 노출
     </t>
    </r>
    <r>
      <rPr>
        <strike/>
        <sz val="9"/>
        <color theme="1"/>
        <rFont val="KB금융 본문체 Light"/>
        <family val="3"/>
        <charset val="129"/>
      </rPr>
      <t>앱 아이콘 미 수신 카운트와 알림 메시지함 읽지 않은 메시지 카운트 동기화
     알림 메시지함에서 읽지 않은 메시지 상세 화면 진입시 카운트(-1) 처리하고 앱 아이콘 뱃지 카운트 동기화</t>
    </r>
    <r>
      <rPr>
        <sz val="9"/>
        <color theme="1"/>
        <rFont val="KB금융 본문체 Light"/>
        <family val="3"/>
        <charset val="129"/>
      </rPr>
      <t xml:space="preserve">
     알림 메시지함내 읽은 메시지와 읽지 않은 메시지 구분 표시(색상, 아이콘 등)
-&gt; 뱃지 "1+" 표시 되었을 경우 고객 확인 시 뱃지 표시 미노출로 확정 : 20210216_UIUX(알림)_회의록_스마트지방세 요건 협의_Ver1.0.docx
[02/22]
- iOS: 1+ 적용불가, N 적용불가
- 앱배지 정책 재확인, 구체화 후 재협의 요청(-&gt;김원용수석)</t>
    </r>
    <phoneticPr fontId="29" type="noConversion"/>
  </si>
  <si>
    <t>-정확한 앱뱃지카운트를 보여줄수 없으므로 1+  M+ 등의 형태로보여줄수 있는지 재협의필요</t>
    <phoneticPr fontId="3" type="noConversion"/>
  </si>
  <si>
    <t>반응형 모바일웹</t>
    <phoneticPr fontId="29" type="noConversion"/>
  </si>
  <si>
    <t>반응형 모바일웹
-&gt; HTML5 기반 모바일 웹</t>
    <phoneticPr fontId="3" type="noConversion"/>
  </si>
  <si>
    <r>
      <t xml:space="preserve">- 전예금조회, 전예금조회내 요구불 예금의 상세 거래내역조회
- 전예금내 요구불 예금상의 이체거래
(이체거래는 정보보호부와 협의, 의사결정 예정)
ㅇ 화면WAS → MCI → e뱅킹연계(단계 슬림화)
※ 기술지원 : 모바일웹 위변조방지, 가상키패드 기술지원 필요(개발인력에 포함)
※ 최소한의 서비스로 구성하며, </t>
    </r>
    <r>
      <rPr>
        <strike/>
        <sz val="9"/>
        <color theme="1"/>
        <rFont val="KB금융 본문체 Light"/>
        <family val="3"/>
        <charset val="129"/>
      </rPr>
      <t>화면은 반응형 WEB으로 개발</t>
    </r>
    <r>
      <rPr>
        <sz val="9"/>
        <color theme="1"/>
        <rFont val="KB금융 본문체 Light"/>
        <family val="3"/>
        <charset val="129"/>
      </rPr>
      <t xml:space="preserve"> (HTML5 모바일 웹 구현으로 요건 변경) (최소 4,5개거래)
※ 스타뱅킹의 경우 구동시 FLAG 에 의한 </t>
    </r>
    <r>
      <rPr>
        <strike/>
        <sz val="9"/>
        <color theme="1"/>
        <rFont val="KB금융 본문체 Light"/>
        <family val="3"/>
        <charset val="129"/>
      </rPr>
      <t>반응형</t>
    </r>
    <r>
      <rPr>
        <sz val="9"/>
        <color theme="1"/>
        <rFont val="KB금융 본문체 Light"/>
        <family val="3"/>
        <charset val="129"/>
      </rPr>
      <t xml:space="preserve">((HTML5 모바일 웹 구현으로 요건 변경) WEB 으로 자동전환
※ 별도 URL 를 가지도록 하며, 금융복합플랫폼과는 독립적으로 가능하도록 구성 
     (별도 SSL 인증서 추가 필요)
---------------------------------------------------
2월 24일 최종 결정 사항
- all ways banking 전환 기준은 IMDG, 금융복합DB, mnbank 화면 WAS 장애시 전환
- 전환 방식은 New 스타뱅킹 앱 구동시 onbank 접속 후 구동메시지에서 장애 상황 체크 후 정상인 경우 mnbank 스타뱅킹 정상 구동, 비정상인 경우 onbank all ways banking 호출(브라우저 호출 방식)
- all ways banking 활성화 시 랜딩페이지는 all ways banking 서비스 안내 및 로그인 연결 기능 제공
- 로그인 처리는 모바일인증서만 사용함(즉, 모바일인증서 미 발급 고객은 all ways banking 서비스 불가)
- 로그인 버튼 클릭시 네이티브(모바일 인증서 지문, 패턴) 화면 호출(지문, 패턴 호출 기준은 스타뱅킹 호출 기준 준용)
- 로그인 이후 전계좌조회(요구불계좌만 서비스) 화면으로 이동
- 전계좌조회를 통해 이체 화면으로 이동 기능 제공(이체 거래는 금융복합DB사용하지 않고 onbank에서 MCI 직접 연결할 수 있는 거래만 제공 함)
- 이체 결과 완료 화면에서 전계좌조회,이체 화면으로 이동할 수 있는 기능 제공함
- 이체시 모바일인증서를 통한 거래는 1일 누적 200만원 한도내에서만 이체 처리함
   - 추가인증(ARS인증) 및 이용폰지정된 사용자의 경우 한도 증액 가능하나 금융복합DB 장에시 추가인증 프로세스를 처리할 수 없음으로 모바일인증서 무서명으로만 처리해야하기에 1일 누적 200만원 한도내에서만 이체 처리함
- 이체 비밀번호 입력 방식은 모바일브랜치에 적용된 보안키패드를 사용.
- 태블릿의 경우 all ways banking 화면의 UI를 동일하게 사용하되 가로 비율 확장 형태로 서비스 제공함.
</t>
    </r>
    <phoneticPr fontId="29" type="noConversion"/>
  </si>
  <si>
    <t>IT디지털개발부</t>
    <phoneticPr fontId="29" type="noConversion"/>
  </si>
  <si>
    <t>20210107_UIUX(모바일웹)_회의록_모바일 웹 요건 협의_ver1.0.docx</t>
    <phoneticPr fontId="3" type="noConversion"/>
  </si>
  <si>
    <t>정찬민</t>
    <phoneticPr fontId="3" type="noConversion"/>
  </si>
  <si>
    <t>모바일웹</t>
    <phoneticPr fontId="29" type="noConversion"/>
  </si>
  <si>
    <t>황규일 대리/김성학 과장</t>
    <phoneticPr fontId="3" type="noConversion"/>
  </si>
  <si>
    <t>다국어</t>
    <phoneticPr fontId="3" type="noConversion"/>
  </si>
  <si>
    <t xml:space="preserve">- 국문 버전 프로세스 개선에 따른 동일 화면 제공 (거래는 As-is 동일)
- 프로세스 개선에 따른 신규 번역
</t>
    <phoneticPr fontId="29" type="noConversion"/>
  </si>
  <si>
    <t>위젯</t>
    <phoneticPr fontId="3" type="noConversion"/>
  </si>
  <si>
    <t>BFE-88000</t>
    <phoneticPr fontId="3" type="noConversion"/>
  </si>
  <si>
    <t>위젯 개선</t>
    <phoneticPr fontId="3" type="noConversion"/>
  </si>
  <si>
    <t>고객 니즈에 따라 2~3가지 크기의 위젯 구성
  ㅇ 사이즈 조정 기능(영역 내 Full 사이즈 UI구성)
  ㅇ 제공기능 수에 따라 사이즈 다른 위젯 제공
  ㅇ 위젯 내 로그인 기능으로 앱 열지 않고 바로 사용</t>
    <phoneticPr fontId="3" type="noConversion"/>
  </si>
  <si>
    <t>위젯 구성은 이체/스마트출금/자산관리/KB Pay 4개의 버튼으로 구성하고 해당요건은 삭제협의함(상세내용은 회의록참조)</t>
    <phoneticPr fontId="3" type="noConversion"/>
  </si>
  <si>
    <t>20210218_UIUX(위젯)_회의록_1차요구사항분석_ver1.0.docx</t>
    <phoneticPr fontId="3" type="noConversion"/>
  </si>
  <si>
    <t>BFE-88010</t>
    <phoneticPr fontId="3" type="noConversion"/>
  </si>
  <si>
    <t>위젯 - 스마트출금 버튼 추가</t>
    <phoneticPr fontId="3" type="noConversion"/>
  </si>
  <si>
    <r>
      <t xml:space="preserve">① iOS, Android 위젯에 ‘스마트출금’ 버튼 추가
- 단순 이동(링크) 기능
</t>
    </r>
    <r>
      <rPr>
        <sz val="9"/>
        <color theme="4"/>
        <rFont val="KB금융 본문체 Light"/>
        <family val="3"/>
        <charset val="129"/>
      </rPr>
      <t>[02/18]
- 스마트 출금 버튼 추가 하며 상단에 기술한 바와 같이 스마트 출금 통합 Index 페이지로 이동 처리.</t>
    </r>
    <r>
      <rPr>
        <strike/>
        <sz val="9"/>
        <color theme="4"/>
        <rFont val="KB금융 본문체 Light"/>
        <family val="3"/>
        <charset val="129"/>
      </rPr>
      <t xml:space="preserve">
- 현재 iOS에는 위젯이 없는것으로 확인되는데. iOS에서 위젯 구현하는 부분은 개발팀 논의 필요함.(iOS 존재하는 것으로 확인)
</t>
    </r>
    <r>
      <rPr>
        <sz val="9"/>
        <color theme="4"/>
        <rFont val="KB금융 본문체 Light"/>
        <family val="3"/>
        <charset val="129"/>
      </rPr>
      <t>[02/22]
조회 제거 후 스마트출금 버튼 추가
스마트출금 버튼 클릭시 자동로그인이 안된 사용자의 경우 '자동로그인 이용시 이용이 편리하다(문구는 별도 검토)'는 안내 문구 노출</t>
    </r>
    <phoneticPr fontId="29" type="noConversion"/>
  </si>
  <si>
    <t xml:space="preserve">1/21
위젯 요구사항건은 25일 이후 담당자 배정 예정. 현업 R&amp;R수정 후 공지 예정. (이재민대리) </t>
    <phoneticPr fontId="3" type="noConversion"/>
  </si>
  <si>
    <t>20210208_UXUI(공통)_회의록_요구사항분석_네이티브_ver1.0.docx</t>
    <phoneticPr fontId="3" type="noConversion"/>
  </si>
  <si>
    <t>Biz-062</t>
    <phoneticPr fontId="3" type="noConversion"/>
  </si>
  <si>
    <t>사진촬영이체</t>
    <phoneticPr fontId="29" type="noConversion"/>
  </si>
  <si>
    <t>BFE-88020</t>
    <phoneticPr fontId="3" type="noConversion"/>
  </si>
  <si>
    <t>이체 정보 사진촬영 위젯 기능 제공</t>
    <phoneticPr fontId="29" type="noConversion"/>
  </si>
  <si>
    <t>- 이체 정보 사진 촬영 기반 이체 인식률 개선
  ㅇ 토스 수준 이상 인식률 개선
  ㅇ 위젯 內 기능제공</t>
    <phoneticPr fontId="3" type="noConversion"/>
  </si>
  <si>
    <t>20210127_UIUX(이체)_회의록_4차 요구사항분석_Ver1.0.docx</t>
    <phoneticPr fontId="3" type="noConversion"/>
  </si>
  <si>
    <t>어드민 개선</t>
    <phoneticPr fontId="3" type="noConversion"/>
  </si>
  <si>
    <t>- New KB스타뱅킹 구축에 따른 개선사항 반영
  ㅇ 신규 화면의 경우 별도 CSS 반영
------------------------------------------------------------------------------
- New 스타뱅킹 어드민 신규 메뉴는 통합어드민 GNB에 1차 메뉴 생성 후 2차 메뉴 관리함.
- 3차, 4차 메뉴는 LP 영역에 기존 통합어드민 UI 형태로 적용 함.
- CP 영역의 UI는 기존 통합어드민과는 별개의 UI 및 디자인 적용 개발함.
- 기존 통합어드민내의 어드민 개선 사항은 기존 UI 및 디자인을 유지한 상태에서 개발 적용함</t>
    <phoneticPr fontId="29" type="noConversion"/>
  </si>
  <si>
    <t>20210111_UIUX(어드민)_회의록_어드민 요건 협의_ver1.0.docx</t>
    <phoneticPr fontId="3" type="noConversion"/>
  </si>
  <si>
    <t>공통</t>
    <phoneticPr fontId="3" type="noConversion"/>
  </si>
  <si>
    <t>이득희 팀장/권희영 차장/이근준 차장</t>
    <phoneticPr fontId="3" type="noConversion"/>
  </si>
  <si>
    <t>BFE-89010</t>
    <phoneticPr fontId="3" type="noConversion"/>
  </si>
  <si>
    <t>다국어 어드민 개선</t>
    <phoneticPr fontId="3" type="noConversion"/>
  </si>
  <si>
    <t>스타뱅킹 전용 다국어 어드민 신규 개발
동일한 Key 값에 대한 메시지 개별 수정 등록 방식 -&gt; 동일한 Key 값에 대한 다국어 메시지 일괄 수정/등록 방식 변경
검색 유형 재 정의
기존 통합어드민내 다국어 관리 메뉴는 유지, 신규로 스타뱅킹 전용 다국어 관리 메뉴 신설
기존 등록된 다국어 관리 테이블과 스타뱅킹 다국어 관리 데이터은 기존 테이블을 재활용함.</t>
    <phoneticPr fontId="3" type="noConversion"/>
  </si>
  <si>
    <t>20210205_UIUX(어드민)_회의록_다국어 관리 스토리보드 리뷰_ver1.0.docx</t>
    <phoneticPr fontId="3" type="noConversion"/>
  </si>
  <si>
    <t>성능</t>
    <phoneticPr fontId="29" type="noConversion"/>
  </si>
  <si>
    <t>BFE-89500</t>
    <phoneticPr fontId="3" type="noConversion"/>
  </si>
  <si>
    <t>모바일 성능개선</t>
    <phoneticPr fontId="3" type="noConversion"/>
  </si>
  <si>
    <r>
      <t xml:space="preserve">- 앱 구동 및 로그인 속도 개선 
  ㅇ 지문(모바일 인증서, </t>
    </r>
    <r>
      <rPr>
        <strike/>
        <sz val="10"/>
        <color theme="1"/>
        <rFont val="KB금융 본문체 Light"/>
        <family val="3"/>
        <charset val="129"/>
      </rPr>
      <t>공인인증서</t>
    </r>
    <r>
      <rPr>
        <sz val="10"/>
        <color theme="1"/>
        <rFont val="KB금융 본문체 Light"/>
        <family val="3"/>
        <charset val="129"/>
      </rPr>
      <t>) 인식창 표출 속도 최우선 단축
  ㅇ 모바일 인증서 라이브러리 최적화(속도개선)
- 각 페이지 전환 속도 개선
- 주요거래들에 대한 모바일 거래 최적화된 전문 구성
- 모바일전용 로그인 프로그램 개발(login Action) 등</t>
    </r>
    <phoneticPr fontId="29" type="noConversion"/>
  </si>
  <si>
    <t>앱구동, 로그인 속도, 페이지 전환 속도 개선은 Native에서 처리하며, 주요거래 최적화 전문 구성과 모바일 전용 로그인 프로그램은 서버 에서 처리해야 함.</t>
    <phoneticPr fontId="3" type="noConversion"/>
  </si>
  <si>
    <t>20210208_UXUI(공통)_회의록_요구사항분석_네이티브_ver1.0.docx
BFE_소프트웨어아키텍처정의서(SAD)(모바일).docx</t>
    <phoneticPr fontId="3" type="noConversion"/>
  </si>
  <si>
    <t>정지윤</t>
    <phoneticPr fontId="3" type="noConversion"/>
  </si>
  <si>
    <t>BFE-89510</t>
    <phoneticPr fontId="3" type="noConversion"/>
  </si>
  <si>
    <t>모바일앱 구조 개선</t>
    <phoneticPr fontId="3" type="noConversion"/>
  </si>
  <si>
    <t>1. 하이브리드 인터페이스 중 errorToNavigate 등 명칭 개선
2. 안드로이드, iOS 구현 방식 및 동작 차이 개선
3. 기동용 매니페스트 분리
4. WKWebView에서 네이티브 기능 호출 방식 변경</t>
    <phoneticPr fontId="3" type="noConversion"/>
  </si>
  <si>
    <t>기존 스타뱅킹앱에서 개선 사항을 반영하여 개발하겠음.</t>
    <phoneticPr fontId="3" type="noConversion"/>
  </si>
  <si>
    <t>APP개발언어변경</t>
    <phoneticPr fontId="29" type="noConversion"/>
  </si>
  <si>
    <t>BFE-89520</t>
    <phoneticPr fontId="3" type="noConversion"/>
  </si>
  <si>
    <t>APP개발언어변경</t>
    <phoneticPr fontId="3" type="noConversion"/>
  </si>
  <si>
    <t xml:space="preserve">- IOS : Objective-C -&gt; Swift
- Android : Android-Java -&gt; Kotlin </t>
    <phoneticPr fontId="29" type="noConversion"/>
  </si>
  <si>
    <t>요청한 개발언어로 변경 하겠음</t>
    <phoneticPr fontId="3" type="noConversion"/>
  </si>
  <si>
    <t>비동기 Async 처리 확대 개선 검토</t>
    <phoneticPr fontId="3" type="noConversion"/>
  </si>
  <si>
    <t>BFE-89530</t>
    <phoneticPr fontId="3" type="noConversion"/>
  </si>
  <si>
    <t>- Native 통신 모듈 개선
   : Async 한 호출 처리가 가능하도록 Native 개선 검토
- 기타 Async 처리 가능 부분 개선
   : Analytics 수집정보 호출과 같은 Async 처리 가능 영역에 해당</t>
    <phoneticPr fontId="29" type="noConversion"/>
  </si>
  <si>
    <t>통신 모듈을 비동기로 처리하고
비즈니스 모델을 UseCase로 분리하여 비동기로 처리하겠음.</t>
    <phoneticPr fontId="3" type="noConversion"/>
  </si>
  <si>
    <t>스크립트프레임웍 도입</t>
    <phoneticPr fontId="29" type="noConversion"/>
  </si>
  <si>
    <t>BFE-91060</t>
    <phoneticPr fontId="3" type="noConversion"/>
  </si>
  <si>
    <t>- 최신 스크립트프레임웍(vue)을 활용하여 개발
ㅇ 공통팀에서 개발가이드 구성시 현행업무에서 사용중인 jQuery기능을 분석하여 최신 스크립트프레임웍 기능으로 대체하는 개발가이드 구성 및 개발자교육
ㅇ vue기반의 동적 화면 구성 및 공통 모듈 구현</t>
    <phoneticPr fontId="29" type="noConversion"/>
  </si>
  <si>
    <t>개인뱅킹플랫폼부</t>
    <phoneticPr fontId="3" type="noConversion"/>
  </si>
  <si>
    <t>인프라</t>
    <phoneticPr fontId="29" type="noConversion"/>
  </si>
  <si>
    <t>- SPA 아키텍처로 대처하고 Vue는 미적용으로 협의함
(Biz-201요건으로 대체 적용)</t>
    <phoneticPr fontId="3" type="noConversion"/>
  </si>
  <si>
    <t>20210111_전문위원(모바일최적화)_회의록_Vue도입 검토 논의안_V1.0.docx</t>
    <phoneticPr fontId="3" type="noConversion"/>
  </si>
  <si>
    <t>이상수</t>
    <phoneticPr fontId="3" type="noConversion"/>
  </si>
  <si>
    <t>인프라</t>
    <phoneticPr fontId="3" type="noConversion"/>
  </si>
  <si>
    <t>이득희 팀장/김원용 수석</t>
    <phoneticPr fontId="3" type="noConversion"/>
  </si>
  <si>
    <t>모바일테스트환경개선</t>
    <phoneticPr fontId="29" type="noConversion"/>
  </si>
  <si>
    <t>BFE-91080</t>
    <phoneticPr fontId="3" type="noConversion"/>
  </si>
  <si>
    <t>- 웹브라우져에서 Full테스트 가능한 환경 구성(크롬)
 ㅇ 네이티브 종속적인 부분(휴대폰 본인인증,유심인증,신분증촬영 등) 우회 혹은 세팅처리하고 웹브라우져에서 테스트 가능하도록 기능 제공</t>
    <phoneticPr fontId="29" type="noConversion"/>
  </si>
  <si>
    <t>- 테스트 환경을 위한 기본 환경 구성은 인프라가 제공
- 모바일에 내에서 처리해야할 기능은 업무로직 변경 필요</t>
    <phoneticPr fontId="3" type="noConversion"/>
  </si>
  <si>
    <t>최진원 팀장</t>
    <phoneticPr fontId="3" type="noConversion"/>
  </si>
  <si>
    <t>DB추가</t>
    <phoneticPr fontId="29" type="noConversion"/>
  </si>
  <si>
    <t>BFE-91090</t>
    <phoneticPr fontId="3" type="noConversion"/>
  </si>
  <si>
    <t>- 화면WAS 내 순수 컨텐츠용 DB 구축
 ㅇ 용도 : 뱅킹거래 비상대응과 관련한 모바일웹 업무 및 순수컨텐츠</t>
    <phoneticPr fontId="29" type="noConversion"/>
  </si>
  <si>
    <t>금융복합AP영역에 신규DB서버 구축</t>
    <phoneticPr fontId="3" type="noConversion"/>
  </si>
  <si>
    <t>BFE_기술아키텍처정의서(기반).pptx
[뉴스타뱅킹] 03. 리눅스_검수문서_v0.9.pptx</t>
    <phoneticPr fontId="3" type="noConversion"/>
  </si>
  <si>
    <t>DB서버 구축</t>
    <phoneticPr fontId="29" type="noConversion"/>
  </si>
  <si>
    <t>ㅇ UDB 약 500G 사이즈로 1, 2센터 이중화 DB 구축 (Active-StandBy)
※ 순수컨텐츠성 서비스 재구성(불필요한 금융복합플랫폼 연계 축소)
※ UDB는 사이트 라이선스로 추가 구매가 필요 없으나, DB서버의 구매가 필요시 베어메탈서버로 이중화구성 및 1,2센터 필요</t>
    <phoneticPr fontId="29" type="noConversion"/>
  </si>
  <si>
    <t>DB 구성 A-S 구성</t>
    <phoneticPr fontId="3" type="noConversion"/>
  </si>
  <si>
    <t>20210105_인프라_회의록_뉴스타뱅킹 인프라구성관련 시스템운영부 업무협의_v1.0.docx
20210106_인프라_회의록_인프라요구사항정의_v1.0.docx
BFE_기술아키텍처정의서(기반).pptx
[뉴스타뱅킹] 03. 리눅스_검수문서_v0.9.pptx</t>
    <phoneticPr fontId="3" type="noConversion"/>
  </si>
  <si>
    <t>BFE-91130</t>
    <phoneticPr fontId="3" type="noConversion"/>
  </si>
  <si>
    <t>- 팝업 관리 기능 개선
ㅇ 현재 인터넷뱅킹에서만 동작하는 팝업기능을 모바일에서도 동작하도록 기능 개선</t>
    <phoneticPr fontId="29" type="noConversion"/>
  </si>
  <si>
    <t>- 팝업관리 기능은 프레임워크에서 제공하는 기능
- 모바일 응용개발에서 기능구현 필요</t>
    <phoneticPr fontId="3" type="noConversion"/>
  </si>
  <si>
    <t>플로팅배너 호출방식 개선</t>
    <phoneticPr fontId="3" type="noConversion"/>
  </si>
  <si>
    <t>BFE-91140</t>
    <phoneticPr fontId="3" type="noConversion"/>
  </si>
  <si>
    <t>- 현재 매번 호출하는 방식이며, 향후 서버에서 푸시나 노티를 통해 처리하는 방식으로 개선 필요
   -&gt; SSE 기반으로 처리하며, 배너표출을 위한 기반환경을 제공함
- 사용자의 행동 감지 후 처리되는 방식으로 인한 적시성 문제가 있음.</t>
    <phoneticPr fontId="3" type="noConversion"/>
  </si>
  <si>
    <r>
      <rPr>
        <sz val="10"/>
        <color rgb="FF0000FF"/>
        <rFont val="KB금융 본문체 Light"/>
        <family val="3"/>
        <charset val="129"/>
      </rPr>
      <t>[0504]</t>
    </r>
    <r>
      <rPr>
        <sz val="10"/>
        <color theme="1"/>
        <rFont val="KB금융 본문체 Light"/>
        <family val="3"/>
        <charset val="129"/>
      </rPr>
      <t>조건부승인-&gt;승인
'[01.29]
- 행동감지 적시성 처리를 위한 플로팅배너를 위해 응용프로그램 개발요건에 명시되어 있으며, 필요 시 기술지원 수행</t>
    </r>
    <phoneticPr fontId="3" type="noConversion"/>
  </si>
  <si>
    <t>20201218_인프라_회의록_인프라요구사항정의_v1.0.docx
20210129_인프라_회의록_인프라요구사항정의_v1.0.docx
20210203_인프라_회의록_플로팅배너 관련 협의_v1.0.docx
20210209_인프라_회의록_플로팅배너 관련 협의_v1.0.docx
20210216_인프라_회의록_플로팅배너 관련 내부협의_v1.0.docx
20210406_인프라_회의록_SSE 관련 IMDG 업무협의_v1.0.docx</t>
    <phoneticPr fontId="3" type="noConversion"/>
  </si>
  <si>
    <t>BFE-92010</t>
    <phoneticPr fontId="3" type="noConversion"/>
  </si>
  <si>
    <t>전체메뉴 구조 노출 방식 개선</t>
    <phoneticPr fontId="29" type="noConversion"/>
  </si>
  <si>
    <t>- 모바일스타루트 고도화
ㅇ 전체메뉴 구조 노출 방식 개선</t>
    <phoneticPr fontId="29" type="noConversion"/>
  </si>
  <si>
    <t>전체메뉴를 DB화로 개선하기로 협의함</t>
    <phoneticPr fontId="3" type="noConversion"/>
  </si>
  <si>
    <t>BFE-92020</t>
    <phoneticPr fontId="3" type="noConversion"/>
  </si>
  <si>
    <t>ㅇ 페이지ID별 사용여부 항목 추가 (현 구조와 동일하게 화면별 페이지 ID 체계인 경우)</t>
    <phoneticPr fontId="29" type="noConversion"/>
  </si>
  <si>
    <t>항목추가 하기로 협의함</t>
    <phoneticPr fontId="3" type="noConversion"/>
  </si>
  <si>
    <t>CSS, img 수정 배포방안 개선</t>
    <phoneticPr fontId="29" type="noConversion"/>
  </si>
  <si>
    <t>ㅇ CSS, img 수정 배포시 html 수정 배포와 동일한 시간에 적용 되도록 개선</t>
    <phoneticPr fontId="29" type="noConversion"/>
  </si>
  <si>
    <t>매니페스트 개선안과 같이 검토하여 개선하기로 협의함</t>
    <phoneticPr fontId="3" type="noConversion"/>
  </si>
  <si>
    <t>20201222_인프라_회의록_인프라요구사항정의_v1.0.docx
20210105_인프라_회의록_인프라요구사항정의_v1.0.docx
BFE_기술아키텍처정의서(FW).pptx</t>
    <phoneticPr fontId="3" type="noConversion"/>
  </si>
  <si>
    <t>ㅇ 모바일스타루트 admin화면에서 모바일 페이지 미리보기 기능 고도화</t>
    <phoneticPr fontId="29" type="noConversion"/>
  </si>
  <si>
    <t>프레임웍 API 제공</t>
    <phoneticPr fontId="29" type="noConversion"/>
  </si>
  <si>
    <t>ㅇ API 제공(메소드 정의, 사용법, 사용예제 등)</t>
    <phoneticPr fontId="29" type="noConversion"/>
  </si>
  <si>
    <t>javaDoc 형태로 제공하기로 협의함</t>
    <phoneticPr fontId="3" type="noConversion"/>
  </si>
  <si>
    <t>20201221_인프라_회의록_인프라요구사항정의_v1.0.docx
20210105_인프라_회의록_인프라요구사항정의_v1.0.docx
BFE_소프트웨어아키텍처정의서(SAD)(FW).pptx</t>
    <phoneticPr fontId="3" type="noConversion"/>
  </si>
  <si>
    <t>소스코드 영향도 분석과 연계</t>
    <phoneticPr fontId="29" type="noConversion"/>
  </si>
  <si>
    <t>ㅇ 소스코드 영향도 분석과 연계하여 모바일스타루트 소스 품질 개선
· 소스표준화 제공
· 소스내 불필요한 스크립트 필터링 등</t>
    <phoneticPr fontId="29" type="noConversion"/>
  </si>
  <si>
    <t>[12.21]
개발가이드로 제공하기로 협의함</t>
    <phoneticPr fontId="3" type="noConversion"/>
  </si>
  <si>
    <t>20201221_인프라_회의록_인프라요구사항정의_v1.0.docx
BFE_New스타뱅킹_개발자가이드_MQuics프레임워크_런타임.pptx</t>
    <phoneticPr fontId="3" type="noConversion"/>
  </si>
  <si>
    <t>리스스에 대한 연관관계 확인 기능 제공</t>
    <phoneticPr fontId="29" type="noConversion"/>
  </si>
  <si>
    <t>ㅇ 소스내 첨부된 리소스에 대한 연관관계 확인 제공
· Qaction, 페이지, navigate 등 연관관계 조회기능 제공</t>
    <phoneticPr fontId="29" type="noConversion"/>
  </si>
  <si>
    <t>[01.06]
IT기획부와 추가협의필요. 영향도 분석범위</t>
    <phoneticPr fontId="3" type="noConversion"/>
  </si>
  <si>
    <t>20210105_인프라_회의록_인프라요구사항정의_v1.0.docx
20210106_인프라_회의록_인프라요구사항정의_v1.0.docx</t>
    <phoneticPr fontId="3" type="noConversion"/>
  </si>
  <si>
    <t>ㅇ java 서블릿 버전 업그레이드 적용(2.5 -&gt; 3.1)</t>
    <phoneticPr fontId="3" type="noConversion"/>
  </si>
  <si>
    <t>New 스타뱅킹 Runtime WAS 업그레이드 구성하기로 협의함</t>
    <phoneticPr fontId="3" type="noConversion"/>
  </si>
  <si>
    <t>20201218_인프라_회의록_인프라요구사항정의_v1.0.docx
BFE_소프트웨어아키텍처정의서(SAD)(FW).pptx</t>
    <phoneticPr fontId="3" type="noConversion"/>
  </si>
  <si>
    <t>ㅇ 통신기능 개선(웹소켓을 사용한 실시간 양방향 통신기능 제공)</t>
    <phoneticPr fontId="3" type="noConversion"/>
  </si>
  <si>
    <t>통신기능은 선 구성.
필요 업무 요청시 개발 지원하리고 협의함</t>
    <phoneticPr fontId="3" type="noConversion"/>
  </si>
  <si>
    <t>ㅇ 개발서버/디스크/네트워크 등 인프라 기존 인뱅서버와 분리하여 구축</t>
    <phoneticPr fontId="3" type="noConversion"/>
  </si>
  <si>
    <t>시스템운영부 협의후 처리 예정</t>
    <phoneticPr fontId="3" type="noConversion"/>
  </si>
  <si>
    <t>20201218_인프라_회의록_인프라요구사항정의_v1.0.docx
BFE_소프트웨어아키텍처정의서(SAD)(FW).pptx
BFE_기술아키텍처정의서(FW).pptx</t>
    <phoneticPr fontId="3" type="noConversion"/>
  </si>
  <si>
    <t xml:space="preserve">ㅇ 모바일스타루트 개발자코드와 관련된 DB구성
· 메뉴코드채번, 화면번호(현페이지코드)채번, 파일코드채번, 전문번호등 채번 등 </t>
    <phoneticPr fontId="29" type="noConversion"/>
  </si>
  <si>
    <t>모바일전용 컨텐츠관리를 구성하기로 협의함</t>
    <phoneticPr fontId="3" type="noConversion"/>
  </si>
  <si>
    <t>20201221_인프라_회의록_인프라요구사항정의_v1.0.docx
BFE_소프트웨어아키텍처정의서(SAD)(FW).pptx</t>
    <phoneticPr fontId="3" type="noConversion"/>
  </si>
  <si>
    <t>- 인터넷뱅킹과 모바일뱅킹이 공통으로 사용중인 엔진 분리를 통한 상호 영향도 개선
ㅇ 공통으로 사용중인 라이브러리 수정시 인뱅 모뱅 양쪽에 영향 발생여지가 존재함, 모바일용 엔진과 인터넷뱅킹용 엔진을 분리를 통한 영향도 제거</t>
    <phoneticPr fontId="29" type="noConversion"/>
  </si>
  <si>
    <t>별도 라이브러리 참조하도록 서버 설치시 구성하기로 협의함</t>
    <phoneticPr fontId="3" type="noConversion"/>
  </si>
  <si>
    <t>- 메니페스트 개선
 ㅇ 개발 서버 및 운영서버의 매니패스트 파일 생성 및 배포 시간 단축개선 방안
 ㅇ 하이브리드 페이지 관련 정보(메뉴 및기타정보) 생성 및 배포 시간 개선
 ㅇ 향후 내용이 많아지더라도 관계없이 근본적인 개선 안 제공</t>
    <phoneticPr fontId="29" type="noConversion"/>
  </si>
  <si>
    <t>mQuics API doc제공 방식개선</t>
    <phoneticPr fontId="29" type="noConversion"/>
  </si>
  <si>
    <t>- 현행 ppt문서가 아닌Java doc형태의 api컨텐츠 제공
ㅇ html로 개발자들이 클릭하며 볼수있도록 제공
ㅇ 추가 혹은 변경시 내용 최신화 방안 제공</t>
    <phoneticPr fontId="29" type="noConversion"/>
  </si>
  <si>
    <t>Biz-029</t>
    <phoneticPr fontId="3" type="noConversion"/>
  </si>
  <si>
    <t>운영에러 디버깅편</t>
    <phoneticPr fontId="29" type="noConversion"/>
  </si>
  <si>
    <t>- 현행 운영에러에 대한 조치방식 개선방안 제공
ㅇ 운영서버 에러로그에 대한 개발가이드 구성 및 고객, 폰, 발생서버, 인스턴스, 에러발생시입출력 정보를 DB에 저장하고 조회할 수 있는 기능 제공</t>
    <phoneticPr fontId="29" type="noConversion"/>
  </si>
  <si>
    <t>스파이더링크</t>
    <phoneticPr fontId="29" type="noConversion"/>
  </si>
  <si>
    <t>BFE-92160</t>
    <phoneticPr fontId="3" type="noConversion"/>
  </si>
  <si>
    <t>- 스파이더링크 기능 개선
ㅇ 거래제어 기능(MCI 로 거래를 던지기전 사전에 대응답할 수 있는 기능 추가)
ㅇ 스파이드링크를 통한 화면 DB핸들링(CRUD) 등</t>
    <phoneticPr fontId="29" type="noConversion"/>
  </si>
  <si>
    <t>The K 프로젝트에서 기 구현 완료된 기능 유지로 협의함
MCI를 연동하지 않고 금융복합플랫폼 직접연계로 인해 기능이 불필요함</t>
    <phoneticPr fontId="3" type="noConversion"/>
  </si>
  <si>
    <t>BFE-92170</t>
    <phoneticPr fontId="3" type="noConversion"/>
  </si>
  <si>
    <t>인터페이스 흐름 변경</t>
    <phoneticPr fontId="29" type="noConversion"/>
  </si>
  <si>
    <t>스파이더링크를 통해서 금융복합AP에 직접연계 인터페이스를 제공하기 위해 연계방안 개발</t>
    <phoneticPr fontId="3" type="noConversion"/>
  </si>
  <si>
    <t>20201221_인프라_회의록_인프라요구사항정의_v1.0.docx
20210106_인프라_회의록_인프라요구사항정의_v1.0.docx
BFE_소프트웨어아키텍처정의서(SAD)(FW).pptx
BFE_기술아키텍처정의서(기반).pptx
BFE_기술아키텍처정의서(FW).pptx</t>
    <phoneticPr fontId="3" type="noConversion"/>
  </si>
  <si>
    <t>Biz-200</t>
    <phoneticPr fontId="3" type="noConversion"/>
  </si>
  <si>
    <t>BFE-92180</t>
    <phoneticPr fontId="3" type="noConversion"/>
  </si>
  <si>
    <t>종속파일 관리 기능</t>
    <phoneticPr fontId="3" type="noConversion"/>
  </si>
  <si>
    <t>- 각 페이지별 종속파일 정보 등록 방식 개선</t>
    <phoneticPr fontId="29" type="noConversion"/>
  </si>
  <si>
    <t>파일 그룹핑 기능을 통한 등록 간소화 처리로 협의함</t>
    <phoneticPr fontId="3" type="noConversion"/>
  </si>
  <si>
    <t>20210105_인프라_회의록_인프라요구사항정의_v1.0.docx
BFE_소프트웨어아키텍처정의서(SAD)(FW).pptx</t>
    <phoneticPr fontId="3" type="noConversion"/>
  </si>
  <si>
    <t>plug-in 기능개선</t>
    <phoneticPr fontId="3" type="noConversion"/>
  </si>
  <si>
    <t>BFE-92190</t>
    <phoneticPr fontId="3" type="noConversion"/>
  </si>
  <si>
    <t xml:space="preserve">- 이클립스 plug-in 기능개선
ㅇ 탑폴더 구분하여 소스 내려받기 : 일반nfsdocs, 통합어드민nfsdocs, 모바일nfsdocs로 나뉘어진 탑폴더의 각각의 소스를 내려받을 수 있도록 지원
ㅇ 특정 확장자만 내려받기 옵션 추가 : 사이트이하 소스를 내려받을때 파일이 너무 많아서 내려받는데 시간이 많이 걸림. 특정 확장자 파일만 내려받기 또는 특정 확장자 파일을 제외하기 옵션 추가 필요
ㅇ 이미지 파일 업로드 : 현재 QVM을 통한 이미지 파일 업로드시 체크아웃 상태로 업로드되어 더 이상 진행이 안되는 상태로 되어 개선 필요
</t>
    <phoneticPr fontId="3" type="noConversion"/>
  </si>
  <si>
    <t>요건과 관련하여 프렘워크상에 기능반영</t>
    <phoneticPr fontId="3" type="noConversion"/>
  </si>
  <si>
    <t>20201222_인프라_회의록_인프라요구사항정의_v1.0.docx
BFE_New스타뱅킹_개발자가이드_MQuics프레임워크_런타임.pptx</t>
    <phoneticPr fontId="3" type="noConversion"/>
  </si>
  <si>
    <t>BFE-92200</t>
    <phoneticPr fontId="3" type="noConversion"/>
  </si>
  <si>
    <t>- Mquics 메뉴 생성시 자동으로 전체메뉴 경로가 챗봇 자동 연계 되도록 개선</t>
    <phoneticPr fontId="3" type="noConversion"/>
  </si>
  <si>
    <t>20210106_인프라_회의록_인프라요구사항정의_v1.0.docx
20210111_인프라_회의록_인프라요구사항정의_v1.0.docx
20210304_인프라_회의록_챗봇연계요건협의_v1.0.docx
BFE_기술아키텍처정의서(FW).pptx</t>
    <phoneticPr fontId="3" type="noConversion"/>
  </si>
  <si>
    <t>Biz-201</t>
    <phoneticPr fontId="3" type="noConversion"/>
  </si>
  <si>
    <t>Front Arch</t>
    <phoneticPr fontId="3" type="noConversion"/>
  </si>
  <si>
    <t>BFE-93000</t>
    <phoneticPr fontId="3" type="noConversion"/>
  </si>
  <si>
    <t>Front Web Page Landing -&gt; SPA Architecture 적용 검토를 통한 랜딩 처리 속도 기대</t>
    <phoneticPr fontId="3" type="noConversion"/>
  </si>
  <si>
    <t xml:space="preserve"> - 21.01.04 : SPA 구성안 및 기본 동작 매커니즘 설계 방향성 내용 확인. 향후 계속적인 설계 공유를 통해서 요건 구체화 요청</t>
    <phoneticPr fontId="3" type="noConversion"/>
  </si>
  <si>
    <t>20210112_인프라_회의록_인프라요구사항정의_v1.0.docx
20210121_전문위원(모바일최적화)_회의록_FrontArch설계중간공유(SPA)_V1.0.docx</t>
    <phoneticPr fontId="3" type="noConversion"/>
  </si>
  <si>
    <t>Biz-202</t>
    <phoneticPr fontId="3" type="noConversion"/>
  </si>
  <si>
    <t>BFE-93100</t>
    <phoneticPr fontId="3" type="noConversion"/>
  </si>
  <si>
    <t xml:space="preserve"> 페이지 전환 인터렉션 처리 가능 기반 마련 검토</t>
    <phoneticPr fontId="3" type="noConversion"/>
  </si>
  <si>
    <t xml:space="preserve"> - 21.01.06 : 인터뷰 진행 및 피드백</t>
    <phoneticPr fontId="3" type="noConversion"/>
  </si>
  <si>
    <t>20210104_전문위원(모바일최적화)Front Arch_회의록_SPA 설계방향성 논의_v1.0.docx
20210121_전문위원(모바일최적화)_회의록_FrontArch설계중간공유(SPA)_V1.0.docx</t>
    <phoneticPr fontId="3" type="noConversion"/>
  </si>
  <si>
    <t>Biz-203</t>
    <phoneticPr fontId="3" type="noConversion"/>
  </si>
  <si>
    <t>BFE-93110</t>
    <phoneticPr fontId="3" type="noConversion"/>
  </si>
  <si>
    <t>기타 화면 처리 개선 검토</t>
    <phoneticPr fontId="3" type="noConversion"/>
  </si>
  <si>
    <t>- 페이지 전환시 개선 요청 사례
 ㅇ 화이트 페이지
 ㅇ 깜빡이는 현상</t>
    <phoneticPr fontId="3" type="noConversion"/>
  </si>
  <si>
    <t>20210106_전문위원(모바일최적화)_회의록_인터뷰_V1.0.docx
20210121_전문위원(모바일최적화)_회의록_FrontArch설계중간공유(SPA)_V1.0.docx</t>
    <phoneticPr fontId="3" type="noConversion"/>
  </si>
  <si>
    <t>Biz-207</t>
    <phoneticPr fontId="3" type="noConversion"/>
  </si>
  <si>
    <t>문자 기반 이체</t>
    <phoneticPr fontId="29" type="noConversion"/>
  </si>
  <si>
    <t>BFE-88030</t>
    <phoneticPr fontId="3" type="noConversion"/>
  </si>
  <si>
    <t>문자 기반 이체 신설, 위젯 요건상세화</t>
    <phoneticPr fontId="29" type="noConversion"/>
  </si>
  <si>
    <t>사용자가 휴대폰에서 은행/계좌번호 정보 복사 후 앱 구동 시 화면 하단에 복사 정보 메시지 노출하고 메시지 선택시 이체 화면으로 이동. 이체 화면으로 이동 후 은행 정보및 계좌번호는 Autofill 노출
위젯 구성은 이체/스마트출금/자산관리/KB Pay 4개의 버튼으로 구성.
 이체 -&gt; 자동 로그인 유도. 자동로그인이 되어 있거나 신청된 상태이면 앱구동 후 바로 이체 화면으로 이동할 수 있도록 함.
 스마트 출금 -&gt; 스마트출금의 통합 index 페이지로 이동하며, 비로그인 시 로그인 후 이동 할 수 있도록 함.
 자산관리 -&gt; 자산관리 페이지로 이동
 KB Pay -&gt; KB Pay 메뉴 페이지로 이동. KB Pay 미가입시 가입 페이지로 이동처리 함.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t>
    <phoneticPr fontId="3" type="noConversion"/>
  </si>
  <si>
    <r>
      <rPr>
        <sz val="10"/>
        <color rgb="FF0000FF"/>
        <rFont val="KB금융 본문체 Light"/>
        <family val="3"/>
        <charset val="129"/>
      </rPr>
      <t>[0504]</t>
    </r>
    <r>
      <rPr>
        <sz val="10"/>
        <color theme="1"/>
        <rFont val="KB금융 본문체 Light"/>
        <family val="3"/>
        <charset val="129"/>
      </rPr>
      <t>조건부승인-&gt;승인
기존 요건 삭제하고 2월 18일 협의 내용 신규 요건으로 분리 반영</t>
    </r>
    <phoneticPr fontId="3" type="noConversion"/>
  </si>
  <si>
    <t>●</t>
    <phoneticPr fontId="3" type="noConversion"/>
  </si>
  <si>
    <t>BFE-12010</t>
    <phoneticPr fontId="3" type="noConversion"/>
  </si>
  <si>
    <t>- 본사통합 캠페인 등록화면에 '뉴스타뱅킹알림(가칭)' 옵션 추가
    ㅇ EBM 등록 단계 중 4번째 채널(빠른거래)설계 화면에 선택지 추가
[관련 파일 참조]
     - 파일명 : NEW KB스타뱅킹_전문위원_02.비대면마케팅시스템최신화_실시간 감지 기반 EBM 확대_20210319_v0.9.pptx</t>
    <phoneticPr fontId="3" type="noConversion"/>
  </si>
  <si>
    <t>전문위원</t>
    <phoneticPr fontId="3" type="noConversion"/>
  </si>
  <si>
    <t>EBM 등록 단계 중 4번째 채널설계 화면에 선택지 추가에 대한 데이터분석부와 논의 진행 완료</t>
    <phoneticPr fontId="3" type="noConversion"/>
  </si>
  <si>
    <t>[관련 파일 참조]
NEW KB스타뱅킹_전문위원_02.비대면마케팅시스템최신화_실시간 감지 기반 EBM 확대_20210319_v0.9.pptx</t>
    <phoneticPr fontId="3" type="noConversion"/>
  </si>
  <si>
    <t>미정</t>
    <phoneticPr fontId="3" type="noConversion"/>
  </si>
  <si>
    <t>데이터분석부</t>
    <phoneticPr fontId="3" type="noConversion"/>
  </si>
  <si>
    <t>BFE-12030</t>
    <phoneticPr fontId="3" type="noConversion"/>
  </si>
  <si>
    <t>- 홈화면에 표출되는 '채널' 정의
    ㅇ 채널 구성요소 정의
        - 송금(이체) 내역
        - 계좌별 펀드 수익률(보유계좌의  계좌별  펀드수익률)
        - 케이봇쌤 포트폴리오 진단
        - (맞춤)환율정보 안내
        - 전문가칼럼 안내 (WM투자자문)
        - 추천상품(상품유형별 개인화 맞춤 상품)
    ㅇ 채널(채널바, 채널 메인 화면) 구성요소 (EXCEL파일 참조)
         - 채널바 : 채널명, 실시간 처리 기준, 채널 메시지, 채널 실행버튼
         - 채널 메인 화면 : 상/하단 구성요소
- 채널 운영안
    ㅇ 홈화면 초기 랜딩시, 채널(빠른거래) 표출 없음
    ㅇ 채널 유형 구분 (홈화면 표출 유형)
       - 송금 수신인(선택), 주요 알림, 전문가 칼럼, 추천상품
    ㅇ 채널 관리 포인트
       - 채널 편집 : 삭제(송금만), 채널명 변경(송금만), 최상단배치 채널 설정
       - 채널 추가 : 송금수신인 채널 (최대 5개), 구독콘텐츠 채널 (추후 추가 예정)
       - 채널 정렬 : 유형별 최신순 정렬 (송금/알림/전문가칼럼/추천상품)
       - 채널 검색 : 전체 검색 기능에 포함하므로 해당 없음
※ 채널 콘텐츠, 데이터 서비스 구현방안 및 운영 방안 협의 후 최종 확정 예정
[관련 파일 참조]
     - 파일명 : NEW KB스타뱅킹_전문위원_02.비대면마케팅시스템최신화_채널 상세정의_20210412_v0.9.pptx
     - 파일명 : NEW KB스타뱅킹_전문위원_02.비대면마케팅시스템최신화_채널 상세정의_20210412_v0.9.xlsx</t>
    <phoneticPr fontId="3" type="noConversion"/>
  </si>
  <si>
    <t>채널 콘텐츠 및 데이터 서비스 구현방안 협의 진행중</t>
    <phoneticPr fontId="3" type="noConversion"/>
  </si>
  <si>
    <t>20210406_전문위원(비대면마케팅시스템최신화)_회의록_채널 서비스 방안 테크그룹 협의_v1.0.docx
20210409_전문위원(비대면마케팅시스템최신화)_회의록_채널 서비스 방안 협의_v1.0.docx
[관련 파일 참조]
NEW KB스타뱅킹_전문위원_02.비대면마케팅시스템최신화_채널 서비스방안_20210412_v0.9.pptx
     - 파일명 : NEW KB스타뱅킹_전문위원_02.비대면마케팅시스템최신화_채널 상세정의_20210412_v0.9.pptx
     - 파일명 : NEW KB스타뱅킹_전문위원_02.비대면마케팅시스템최신화_채널 상세정의_20210412_v0.9.xlsx</t>
    <phoneticPr fontId="3" type="noConversion"/>
  </si>
  <si>
    <t>Biz-004</t>
    <phoneticPr fontId="3" type="noConversion"/>
  </si>
  <si>
    <t>프로젝트 지원 전문위원</t>
    <phoneticPr fontId="3" type="noConversion"/>
  </si>
  <si>
    <t>고객 맞춤형 상품추천 방안수립</t>
    <phoneticPr fontId="3" type="noConversion"/>
  </si>
  <si>
    <t>- 상품추천 시나리오별 UI 개발
    ㅇ 시나리오명
       &gt; Home 화면 內, (가칭)상품몰 內 (연계 요구사항 ID : BFE-70000, 70010), 마이페이지 內, 통합 검색 時, 상품가입 완료 時
- 상품 간단 설명/추천 사유 관리를 위한 UI 개발
    ㅇ 화면명 : 추천 사유 관리용 Admin 페이지 신설 - 8 페이지 [Back up] 통합 어드민 페이지 구성(案) 참조
- 상품추천 시나리오별 예외처리 조건 개발
    ㅇ 시나리오명
       &gt; Home 화면 內, (가칭)상품몰 內, 마이페이지 內
          : 데이터 분석부에서 제공한 상품 데이터를 표출하되, 고객의 상품 보유 여부는 마케팅 플랫폼에서 필터링 로직을 적용하여 제공
          : 추천 상품 콘텐츠 미존재시 해당 고객 연령대 다수 가입상품 표출
       &gt; 통합 검색 時, 상품 가입 완료 時
          : 상세페이지 이동 時, 고객의 해당 상품 보유 여부 응용프로그램에서 필터링
            (해당 상품 보유 시 추천 메시지 표출 제외)
       &gt; 상품 가입 완료 時
          : 요구불 통장 가입 완료 고객에게는 신용/체크 카드 상품 추천 기능 제공
- 상품추천 데이터 제공을 위한 대응개발 (데이터분석플랫폼부)
    ㅇ D-2일자 기반 상품 추천 로직 개발 및 데이터 제공
[관련 파일 참조]
    - 상세화 PPT 내 3~7 페이지 시나리오별 추천 상품 노출 개수, 추천 상품 표출 우선 순위, 추가 개발 요건 참고
    - 파일명 : NEW KB스타뱅킹 구축_전문위원_03.데이터 기반 개인화 서비스_고객 맞춤형 상품추천 방안 수립_20210401_v0.90.pptx</t>
    <phoneticPr fontId="3" type="noConversion"/>
  </si>
  <si>
    <t>ㅇ 2/24일 Tech그룹 및 내부 협의
 -  데이터 위치 및 서비스 제공방식 결정 完
   (마케팅플랫폼 ↔ 금융복합플랫폼 간 API 기반 데이터 제공가능 여부 협의)</t>
    <phoneticPr fontId="3" type="noConversion"/>
  </si>
  <si>
    <t>20210303_전문위원(데이터기반개인화서비스)_회의록_메뉴추천 데이터분석플랫폼부 협의_v1.0.docx
20210318_전문위원(공통)_회의록_상품추천요구사항협의 With데이터분석플랫폼부_v1.0.docx
NEW KB스타뱅킹 구축_전문위원(공통)_과제별 데이터 위치서비스 제공방식 비교_20210318_v1.0.pptx</t>
    <phoneticPr fontId="3" type="noConversion"/>
  </si>
  <si>
    <t>BFE-13040</t>
    <phoneticPr fontId="3" type="noConversion"/>
  </si>
  <si>
    <t>전체 메뉴추천/DIY 방안 수립</t>
    <phoneticPr fontId="3" type="noConversion"/>
  </si>
  <si>
    <t>- 맞춤메뉴 추천 제공 기능 개발
     ㅇ 전략적 메뉴 추천 콘텐츠 제공을 위한 Admin 관리페이지 신설
     ㅇ 고객 Segmentation 기준 자주 사용하는 메뉴 추천 (데이터분석플랫폼부 대응개발)
- 메뉴 표출 방식 개선
     ㅇ Home 화면: DIY/추천 메뉴 표출
     ㅇ 전체메뉴 화면: DIY/추천 메뉴 표출, 자주 사용하는 메뉴 표출
     ※ DIY/추천 메뉴 표출 최대 6건 표출하며, 즐겨찾기 설정 메뉴 우선 표출
- My메뉴 설정 페이지 內 기능 개선 (연관 요구사항 ID : BFE-23070)
     ㅇ 전체 메뉴 표출 방식 변경 (메뉴 레벨 4Depth 수준의 페이지까지 보여주는 UI로 변경)
     ㅇ 메뉴 검색 기능 추가
     ㅇ 메뉴 순서 변경 기능 추가
[관련 파일 참조]
     - 상세화 PPT 내 3~6 전체 메뉴 추천/DIY 시나리오, My 메뉴 개선 방안, 맞춤 메뉴(추천) 방안 내용 참고
     - 파일명 : NEW KB스타뱅킹 구축_전문위원_03.데이터 기반 개인화 서비스_전체 메뉴 추천 DIY 방안 수립_20210401_v0.90.pptx</t>
    <phoneticPr fontId="3" type="noConversion"/>
  </si>
  <si>
    <t>*데이터엔지니어링플랫폼에서 통계데이터 생성 후 AP 방식으로 서비스 제공 가능여부 확인 완료</t>
    <phoneticPr fontId="3" type="noConversion"/>
  </si>
  <si>
    <t>20210226_전문위원(데이터기반개인화서비스)_회의록_메뉴추천관련 요건 협의(메뉴추천&amp;자산관리)_V1.0.docx
20210318_전문위원(공통)_회의록_상품추천요구사항협의 With데이터분석플랫폼부_v1.0.docx</t>
    <phoneticPr fontId="3" type="noConversion"/>
  </si>
  <si>
    <t>BFE-11010</t>
    <phoneticPr fontId="3" type="noConversion"/>
  </si>
  <si>
    <t>Web Front Architecture SPA 구축</t>
    <phoneticPr fontId="3" type="noConversion"/>
  </si>
  <si>
    <t>- Web Front Architecture SPA 구축 적용 상세화
   ⚪ AS-IS KB스타뱅킹의 동작 매커니즘 기반의 SPA 설계 내용 검토 &amp; 방향성 수립
      : 현재 스타루트의 매니페스트 기반 컨텐츠 리소스 관리 및 Native 의 CSR 방식의 랜더링 관리, 화면 바인딩 처리 구조 등을 고려하여 SPA 아키텍처 적용
   ⚪ 이슈 관리 및 방안 수립
   ⚪ 기타 연계 플랫폼 요소 개선 식별 및 구체화
   ⚪ 가상 DOM 영역의 동적화면 구성을 통한 화면 전환간 인터렉션 처리 기반 확보
   ⚪ 공통 리소스 및 업무단위 리소스의 동적 관리 구조 적용 (load/unload)
[관련 파일 참조]
     -  파일명 :NEW KB스타뱅킹 구축_전문위원_01.모바일인프라최적화_20210304_v0.9.pptx
   * 실제 이행 영역에 참여하여 계속적으로 디벨럽(설계말 단계까지)</t>
    <phoneticPr fontId="3" type="noConversion"/>
  </si>
  <si>
    <t>20210111_전문위원(모바일최적화)_회의록_Vue도입 검토 논의안_V1.0.docx
NEW KB스타뱅킹 구축_전문위원_01.모바일인프라최적화_20210304_v0.9.pptx</t>
    <phoneticPr fontId="3" type="noConversion"/>
  </si>
  <si>
    <t>지현동수석</t>
    <phoneticPr fontId="3" type="noConversion"/>
  </si>
  <si>
    <t>스크립트프레임웍 도입 검토(Vue)</t>
    <phoneticPr fontId="3" type="noConversion"/>
  </si>
  <si>
    <t>- Vue 도입 검토를 통한 적합영역 확인 
   ⚪ 검증 전 상태인 Vue 는 기술협상을 통해 적용 목적을 확인 하였고, 목적내용을 바탕으로 SPA 와 Vue의 
      중첩되는 요소가 확인되었으며, 프로젝트 착수 후 초반 SPA 적용과 함께 Vue의 적합성에 대한 검토를 
      병행 하기로 함
   ⚪ SPA 를 구축 적용 하면서 현행 시스템 분석을 바탕으로 Vue 적용 이슈 검토
   ⚪ Vue 도입에 따른 Naitve 및 스타루트 프레임워크 인프라 환경의 영역별 검토 진행
   ⚪ 최종 적용안 도출 (대체안검토)
[관련 파일 참조]
     -  파일명 : NEW KB스타뱅킹 구축_전문위원_01.모바일인프라최적화_20210304_v0.9.pptx</t>
    <phoneticPr fontId="3" type="noConversion"/>
  </si>
  <si>
    <t>Vue 적용 이슈와 더불어 SPA가 대체안으로써 중첩되는 요구 기술요소(목적)를 모두 수렴함으로써 최종 SPA 아키텍처 도입으로 Vue 적용부분을 대체 함으로 의사결정 진행 (BFE-11010 요구사항으로 대체)</t>
    <phoneticPr fontId="3" type="noConversion"/>
  </si>
  <si>
    <t>모바일 인프라 최적화 - 영역별 검토지원</t>
    <phoneticPr fontId="3" type="noConversion"/>
  </si>
  <si>
    <t>- New KB스타뱅킹 Mobile APP 의 서비스 최적화를 위하여 Front 중심으로 각 영역별 도출 과제 중 성능 최적화 관련 주요 과제를 식별하고, 구축 방향성 구체화에 추가 검토 지원
   ⚪ 영역 : Front Arch, Native, 스타루트F/W 
   ⚪ 초기 Front Web (웹뷰) 영역 초기 진단 진행 
      : 진단팀의 일부 지원을 받아 초기 진단 진행
      : 프로젝트 후반 진단시 비교 기준 자료 확보 및 기타 특이사항 도출 여부 확인 위함
      : Front 에 신규 아키텍처 도입 제언부분이 있는 만큼 Front Web 영역에 한정하여 빠른 점검 진행
   ⚪ 영역별로 RFP / 제안서 / 요구사항 기준 영역별 성능 개선 과제 대상 식별/구체화 지원
   ⚪ 추가 기술 검토 및 자문 필요 요청시 조사 제공
[관련 파일 참조]
     -  파일명 :NEW KB스타뱅킹 구축_전문위원_01.모바일인프라최적화_20210304_v0.9.pptx</t>
    <phoneticPr fontId="3" type="noConversion"/>
  </si>
  <si>
    <t>NEW KB스타뱅킹 구축_전문위원_01.모바일인프라최적화_20210304_v0.9.pptx</t>
    <phoneticPr fontId="3" type="noConversion"/>
  </si>
  <si>
    <t>이상수</t>
    <phoneticPr fontId="29" type="noConversion"/>
  </si>
  <si>
    <t>성능 관련 추가 제언 요소 식별 및 개선
(스타루트-Native)</t>
    <phoneticPr fontId="3" type="noConversion"/>
  </si>
  <si>
    <t>- 모바일 Front를 중심으로 영역별 검토를 통한 추가 제언
   ⚪ 검토 항목 : Native 앱 &amp; 스타루트 F/W 간 매니페시트 Sync I/F 방식 개선, 
       Native 비동기 Async 처리 확대 개선 (Native Async 통신 처리 – 웹뷰)
   ⚪ AS-IS는 약 8MB 매니페스트 파일 자체를 Sync 하는 형태로 I/F 진행중으로 매니페스트 파일 업데
      이트 필요시 앱 초기 구동과 관련된 성능 저해 예상 요소 제기
   ⚪ 파일 Sync 방식에서 API 기반 변경 리소스 정보 Sync 방식으로 제언
   ⚪ 영역별 검토 제언을 통한 방안 수립 및 방향성 구체화 검토
[관련 파일 참조]
     -  파일명 :NEW KB스타뱅킹 구축_전문위원_01.모바일인프라최적화_20210304_v0.9.pptx</t>
    <phoneticPr fontId="3" type="noConversion"/>
  </si>
  <si>
    <t>최초 제언내용은 내부 검토 결과 DB I/O의 부하에대한 우려로 인해 미적용 결정되었으나, 가능안으로 최종 검토되어 수행사에 적용 반영됨</t>
    <phoneticPr fontId="3" type="noConversion"/>
  </si>
  <si>
    <t>NEW KB스타뱅킹 구축_전문위원_01.모바일인프라최적화_20210304_v0.9.pptx
BFE_기술아키텍처정의서(모바일).pptx</t>
    <phoneticPr fontId="3" type="noConversion"/>
  </si>
  <si>
    <t>인프라, 응용개발-모바일</t>
    <phoneticPr fontId="3" type="noConversion"/>
  </si>
  <si>
    <t>확장형플랫폼 기술 요구사항 검토 및 구체화 - 외부 서비스 연계 정책 기준 마련</t>
    <phoneticPr fontId="3" type="noConversion"/>
  </si>
  <si>
    <t>- 계열사 App간 매끄러운 연계방안을 위한 정책 기준 마련
   ⚪ 본 프로젝트의 목적(안정성, 최적화)에 맞춰 외부 서비스의 Hub 플랫폼으로 진화 하기 위한 
       단계적인 통제 정책 검토/정의
   ⚪ 표준정책 : Data API 기반 연계 방식 협의/검토
   ⚪ 대체정책 : 모바일웹 화면 앱 內 호출 연계 협의/검토
   ⚪ KB스타뱅킹 내부 공통 인프라(SSO, Open API 등) 연계 검토 및 기준 방향성 제시
[관련 파일 참조]
     -  파일명 : NEW KB스타뱅킹 구축_전문위원_01.모바일인프라최적화_확장형플랫폼(기술영역)_20210330_v0.9.pptx</t>
    <phoneticPr fontId="3" type="noConversion"/>
  </si>
  <si>
    <t>방향성 수립에 대한 내용은 합의 완료.
( 단, 상세 기능 협의 사항 및 계열사별 검토에 따라 일부 업데이트 사항은 본 문서를 기준으로 변화관리 하기로 함 )</t>
    <phoneticPr fontId="3" type="noConversion"/>
  </si>
  <si>
    <t>20210209_전문위원(모바일최적화)_회의록_확장형 플랫폼 기술영역 방향성 수립건_V1.0.docx
NEW KB스타뱅킹 구축_전문위원_01.모바일인프라최적화_확장형플랫폼(기술영역)_20210330_v0.9.pptx</t>
    <phoneticPr fontId="3" type="noConversion"/>
  </si>
  <si>
    <t>지현동</t>
    <phoneticPr fontId="3" type="noConversion"/>
  </si>
  <si>
    <t>응용개발(전체)</t>
    <phoneticPr fontId="3" type="noConversion"/>
  </si>
  <si>
    <t>확장형플랫폼 기술 요구사항 검토 및 구체화 - 스타뱅킹 고도화 기능의 개선 방향성 구체화 및 개선</t>
    <phoneticPr fontId="3" type="noConversion"/>
  </si>
  <si>
    <t>- 확장형 플랫폼 기반을 위한 고도화 대상 기능 식별 및 방향성 구체화 제시&amp;구축
   ⚪ 고도화 대상 기능 : 인앱브라우져 연계 제공 기능(모바일웹 화면 앱 內 호출 연계)
   ⚪ 정책 기준하에 필요 기능 식별 및 개선 대상 정의(구축 방향성 구체화)
      : 웹(웹뷰) 페이지 연계 Scene 기술 정의, 정보 제공 동의, 인증(SSO연계), 타 도메인용 웹뷰기능,
        기본 제공 플러그인, 세션처리 등 
[관련 파일 참조]
     -  파일명 : NEW KB스타뱅킹 구축_전문위원_01.모바일인프라최적화_확장형플랫폼(기술영역)_20210330_v0.9.pptx</t>
    <phoneticPr fontId="3" type="noConversion"/>
  </si>
  <si>
    <t>인앱 브라우져 연계를 위한 모바일 앱 內 기능 구현 진행하기로 함. 
단, 현재 검토/정의된 기능한에 설계검토 진행하며, 계열사별 검토 과정 中 기타 추가 필요 기능들이 발생시는 별도 변화관리를 통해서 협의/검토 대상으로 식별진행함.</t>
    <phoneticPr fontId="3" type="noConversion"/>
  </si>
  <si>
    <t>20210217_전문위원_회의록_(7)확장형종합금융플랫폼_전문위원요구사항공유_V1.0.docx
20210317_전문위원(모바일최적화)_회의록_확장형 기술영역 공유 회의(Native)_V1.0.docx
20210319_전문위원(모바일최적화)_회의록_확장형 기술영역 공유 회의(전체)_V1.0.docx
20210324_전문위원(모바일최적화)_회의록_확장형 기술영역 SSO(인증) 회의_V1.0.docx
NEW KB스타뱅킹 구축_전문위원_01.모바일인프라최적화_확장형플랫폼(기술영역)_20210330_v0.9.pptx</t>
    <phoneticPr fontId="3" type="noConversion"/>
  </si>
  <si>
    <t>인프라, UX/UI, 응용개발(전체)</t>
    <phoneticPr fontId="3" type="noConversion"/>
  </si>
  <si>
    <t>BFE-12020</t>
    <phoneticPr fontId="3" type="noConversion"/>
  </si>
  <si>
    <t>더드림존 
확장성 검토</t>
    <phoneticPr fontId="3" type="noConversion"/>
  </si>
  <si>
    <t>- KB더드림존 확장성 개선과제 정의
    ㅇ 비대면 리워드 프로그램 추가 후보 리스트 정의
    ㅇ 신규 리워드 대상 표출 확장성 고려한 화면 재설계 (고민하지 않는 UX 기준 적용)
    ㅇ 드림상자 열기 프로세스/화면 개선
[관련 파일 참조]
     - 파일명 : NEW KB스타뱅킹_전문위원_02.비대면마케팅시스템최신화_KB더드림존 개선안_20210226_v0.9.pptx</t>
    <phoneticPr fontId="3" type="noConversion"/>
  </si>
  <si>
    <t>전환개발 대상</t>
    <phoneticPr fontId="3" type="noConversion"/>
  </si>
  <si>
    <t>20210128_전문위원(비대면마케팅시스템최신화)_회의록_더드림존확장성검토_v1.0.docx
전환개발에 반영 
[관련 파일 참조]
NEW KB스타뱅킹_전문위원_02.비대면마케팅시스템최신화_KB더드림존 개선안_20210226_v1.0.pptx</t>
    <phoneticPr fontId="3" type="noConversion"/>
  </si>
  <si>
    <t>BFE-12040</t>
    <phoneticPr fontId="3" type="noConversion"/>
  </si>
  <si>
    <t>개인화 맞춤 
배너 노출</t>
    <phoneticPr fontId="3" type="noConversion"/>
  </si>
  <si>
    <t>- 고객별 속성 반영한 배너 운영안
    ㅇ 타깃배너 도입
         - 정의: 사전에 설정한 기준에 부합하는 타깃고객에게 우선 표출할 배너 
            (Positive 기준(특정조건 만족하는 고객에게 표출) 또는 
             Negative 기준(배너와 연관된 상품/서비스 보유 고객 제외) 을 고려하여 타깃배너 대상고객 추출
    ㅇ 배너 표출 프로세스 수립
         1. 개별배너 등록시, 상기 기술된 Positive &amp; Negative 기준 기입
         2. 표출배너 대상을 기준으로 고객속성(연령, 직업코드, 상품/서비스 보유여부 등)을 고려하여 고객별 타깃배너 설정
         3. 로그인한 후, 타깃배너 표출 페이지에 진입시 고객별 표출배너 DB에 전문을 통해 배너정보 호출
         4. 해당 페이지에 고객별 표출배너를 롤링배너 형태로 표시
[관련 파일 참조]
     - 파일명 : NEW KB스타뱅킹_전문위원_02.비대면마케팅시스템최신화_개인화 맞춤 배너 노출_20210319_v0.9.pptx</t>
    <phoneticPr fontId="3" type="noConversion"/>
  </si>
  <si>
    <t>데이터 서비스 방안 Tech 그룹 협의 완료</t>
    <phoneticPr fontId="3" type="noConversion"/>
  </si>
  <si>
    <t>20210318_전문위원(공통)_회의록_상품추천요구사항협의 With데이터분석플랫폼부_v1.0.docx
[관련 파일 참조]
NEW KB스타뱅킹 구축_전문위원_개인화_데이터위치 및 서비스제공방식 비교_20210318_v1.0.pptx</t>
    <phoneticPr fontId="3" type="noConversion"/>
  </si>
  <si>
    <t>권영순</t>
    <phoneticPr fontId="3" type="noConversion"/>
  </si>
  <si>
    <t>Home화면 구성 콘텐츠 정의</t>
    <phoneticPr fontId="3" type="noConversion"/>
  </si>
  <si>
    <t>- Home 화면 페이지/영역별 구성 콘텐츠 기반 화면 설계 및 기능 개발
    ⚪ 주요 콘텐츠 : 사용자 편의, KB Pay 연계, 개인화 메세지, 계좌 정보, 메뉴 추천/DIY, 이벤트 정보, 채널, 새소식, Footer
[관련 파일 참조]
    - 상세화 PPT 파일 내  5~7 페이지 "Home 화면 구성 콘텐츠 (To-Be)" 내용 참고
    - 파일명 : NEW KB스타뱅킹 구축_전문위원_03.데이터 기반 개인화 서비스_Home 화면 구성 콘텐츠 정의_20210330_v0.9.pptx</t>
    <phoneticPr fontId="3" type="noConversion"/>
  </si>
  <si>
    <t>BFE-13030</t>
    <phoneticPr fontId="3" type="noConversion"/>
  </si>
  <si>
    <t>마이페이지 구성 콘텐츠 정의</t>
    <phoneticPr fontId="3" type="noConversion"/>
  </si>
  <si>
    <r>
      <t>- 마이페이지 내 콘텐츠 위한 UI/UX설계 및 개발 (연계 요구사항 ID : BFE-40020)
     ㅇ 고객 기본정보(고객명, 프로필 이미지, 계정관리 등) (연계 요구사항 ID : BFE-23400)
     ㅇ 내정보관리(개인신용정보 수집/이용동의 등)
     ㅇ 혜택/이벤트정보(고객등급/점수, 혜택금액 등) (연계 요구사항 ID : BFE-80010)
     ㅇ 금융상품정보(추천상품, 장바구니 등) 
     ㅇ 계좌관리(출금계좌 등록/관리 등) 
     ㅇ 보안정보(</t>
    </r>
    <r>
      <rPr>
        <sz val="8"/>
        <rFont val="KB금융 본문체 Light"/>
        <family val="3"/>
        <charset val="129"/>
      </rPr>
      <t>(구)</t>
    </r>
    <r>
      <rPr>
        <sz val="9"/>
        <rFont val="KB금융 본문체 Light"/>
        <family val="3"/>
        <charset val="129"/>
      </rPr>
      <t>스타샷 메세지 표출)
     ㅇ 서비스관리(오픈뱅킹관리, 마이데이터 서비스 관리 등)
     ㅇ 금융캘린더(상품만기일, 대출이자 납입일 등)
- 마이페이지 관련 개선/신규 페이지 개발
     ㅇ [개선] : 내 정보 조회/수정
     ㅇ [신규] : (가칭) KB 금융그룹 서비스 이용 현황, (가칭) 제휴 서비스 이용 현황
[관련 파일 참조]
     -  상세화 PPT 내 4~6 페이지 마이페이지 구성 콘텐츠, 개발 필요사항 내용 참고
     - 파일명 : NEW KB스타뱅킹 구축_전문위원_03.데이터 기반 개인화 서비스_마이페이지 구성 콘텐츠 정의_20210401_v0.9.pptx</t>
    </r>
    <phoneticPr fontId="3" type="noConversion"/>
  </si>
  <si>
    <t>20210226_전문위원(데이터기반개인화서비스)_회의록_금융캘린더 콘텐츠 관련 협의(마이페이지&amp;자산관리)_V1.0.docx</t>
    <phoneticPr fontId="3" type="noConversion"/>
  </si>
  <si>
    <t>UX 컨셉 및 세부전략 기반 화면 설계</t>
    <phoneticPr fontId="3" type="noConversion"/>
  </si>
  <si>
    <t xml:space="preserve">- 도출된 UX 컨셉 및 세부전략 기반 New스타뱅킹 화면설계
     ㅇ 홈(로그인 포함), 조회/이체, 개인화, 상품푸천마케팅프로세스, 상품가입, 전체메뉴, 검색 등
[관련 파일 참조]
     - 파일명 : NEW KB스타뱅킹_전문위원_04.고민하지않는UX설계_20210222_v0.7.pptx
UX전문위원_프로토타입_1.홈_210219_v0.7.pdf 
UX전문위원_프로토타입_2.이체_210219_v0.7.pdf
UX전문위원_프로토타입_3.조회_20210219_v0.7.pdf
UX전문위원_프로토타입_4.로그인_210219_v0.7.pdf
UX전문위원_프로토타입_5.전체메뉴_210219_v0.7.pdf
UX전문위원_프로토타입_6.검색_20210219_v0.7.pdf
UX전문위원_프로토타입_7.마이페이지_210219_v0.7.pdf
UX전문위원_프로토타입_8.상품메인_20210219_v0.7.pdf
UX전문위원_프로토타입_9.요구불계좌가입_20210219_v0.7.pdf
- 사용자테스트 결과
     ㅇ LGCNS에서 2월 말까지 결과보고서 제출
- UX설계 기본가이드
     ㅇUIUX 설계말 동시 완료 및 제출
</t>
    <phoneticPr fontId="3" type="noConversion"/>
  </si>
  <si>
    <t>붙임1.New KB스타뱅킹 구축 프로젝트계획서.docx
NEW KB스타뱅킹_전문위원_04.고민하지않는UX설계_20210304_v0.9.pptx</t>
    <phoneticPr fontId="3" type="noConversion"/>
  </si>
  <si>
    <t>김민지 대리</t>
    <phoneticPr fontId="3" type="noConversion"/>
  </si>
  <si>
    <t>BFE-15010</t>
    <phoneticPr fontId="3" type="noConversion"/>
  </si>
  <si>
    <t>New스타뱅킹 To-Be 메뉴 기준 정의
- 스타루트에 메뉴검색 기능 구현필요</t>
    <phoneticPr fontId="3" type="noConversion"/>
  </si>
  <si>
    <r>
      <t xml:space="preserve">- 스타루트 메뉴검색 기능이 필요하며, 검색엔진에 다음과 같이 메뉴 검색 요건이 필요함
     ① 인덱싱 페이지로 메뉴 통합된 경우, 인덱싱 페이지에 포함된 메뉴가 검색시 검색결과로 제시되어야 함
     ② 인덱싱 페이지 외 통합된 메뉴 개별검색시, AS-IS메뉴 검색어 입력했을때, 해당되는 관련 TO-BE메뉴가 검색될 수 있어야 함
         - 유형 1) [스타뱅킹 이용시간 안내 + 스타뱅킹 이용안내] </t>
    </r>
    <r>
      <rPr>
        <b/>
        <sz val="9"/>
        <rFont val="KB금융 본문체 Light"/>
        <family val="3"/>
        <charset val="129"/>
      </rPr>
      <t>콘텐츠 통합</t>
    </r>
    <r>
      <rPr>
        <sz val="9"/>
        <rFont val="KB금융 본문체 Light"/>
        <family val="3"/>
        <charset val="129"/>
      </rPr>
      <t xml:space="preserve"> --&gt; TO-BE [스타뱅킹 이용안내]메뉴
                  입력 검색어: AS-IS메뉴 [스타뱅킹 이용시간안내] --&gt; TO-BE [스타뱅킹 이용안내]로 검색결과 제시
        - 유형 2) [적금 해지예상조회 + 적금 해지 신청] </t>
    </r>
    <r>
      <rPr>
        <b/>
        <sz val="9"/>
        <rFont val="KB금융 본문체 Light"/>
        <family val="3"/>
        <charset val="129"/>
      </rPr>
      <t>거래 통합</t>
    </r>
    <r>
      <rPr>
        <sz val="9"/>
        <rFont val="KB금융 본문체 Light"/>
        <family val="3"/>
        <charset val="129"/>
      </rPr>
      <t xml:space="preserve"> --&gt; TO-BE [관리 &gt; 예적금 &gt; 예적금해지] 메뉴
                  입력 검색어: AS-IS메뉴 [적금 해지예상조회] --&gt; TO-BE[관리 &gt; 예적금 &gt; 예적금해지]로 검색결과 제시 
         - 유형 3) [보험계좌조회, 예금계좌 조회] </t>
    </r>
    <r>
      <rPr>
        <b/>
        <sz val="9"/>
        <rFont val="KB금융 본문체 Light"/>
        <family val="3"/>
        <charset val="129"/>
      </rPr>
      <t>기능 통합</t>
    </r>
    <r>
      <rPr>
        <sz val="9"/>
        <rFont val="KB금융 본문체 Light"/>
        <family val="3"/>
        <charset val="129"/>
      </rPr>
      <t xml:space="preserve"> --&gt; TO-BE [조회 &gt; 전계좌조회]메뉴
                  입력 검색어: AS-IS메뉴 [보험계좌조회] --&gt; TO-BE[조회 &gt; 전계좌조회]로 검색결과 제시
    ③ 연관검색어 입력 시, 관련 메뉴가 검색될 수 있어야 함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r>
    <phoneticPr fontId="3" type="noConversion"/>
  </si>
  <si>
    <t>- 2월 15일 16시 ACE팀 김민지 대리와 
NEW KB스타뱅킹 구축_전문위원_05.플랫폼슬림화_기준정의서_20210215_v0.5.pptx 
문서를 대상으로 리뷰하고, 보완요청사항 반영완료
- TO-BE 메뉴 IA 문서는 ACE 팀과의 합의 후 KB국민은행 전 부서 배포 및 메뉴 담당부서 의견 검토 진행완료(2/15~2/17)
- KB담당부서 검토의견 반영 및 슬림화 통계반영
- 자산관리, KB계열사, KBPay 등과 같이 메뉴 변동여지가 있는 영역은 현재(2/22까지) 버전까지 IA초안(3depth)에 반영하고 이후 변동시 업데이트 필요(UX기획파트)
- 2/22기준으로 1차 IA초안 프리징하여 UX기획 및 KB ACE팀에 공유하였음</t>
    <phoneticPr fontId="3" type="noConversion"/>
  </si>
  <si>
    <t>검색엔진업체 투입시점에 관련거래 추가로 도출키로 KB와협의완료함
 근기파일명 : (취합본)설계미진사항_20210406(화)-협의완료.xlsx</t>
    <phoneticPr fontId="3" type="noConversion"/>
  </si>
  <si>
    <t>BFE-15020</t>
    <phoneticPr fontId="3" type="noConversion"/>
  </si>
  <si>
    <t>New스타뱅킹 To-Be 메뉴 기준 정의
- 고객 계좌보유현황에 따른 상품관리메뉴의 선별 노출</t>
    <phoneticPr fontId="3" type="noConversion"/>
  </si>
  <si>
    <r>
      <t xml:space="preserve"> ㅇ [상품관리] 메뉴의 경우, 고객의 계좌보유현황에 따라 보유 계좌에 해당되는 메뉴만 선별적으로 제공
  </t>
    </r>
    <r>
      <rPr>
        <b/>
        <sz val="9"/>
        <color theme="1"/>
        <rFont val="KB금융 본문체 Light"/>
        <family val="3"/>
        <charset val="129"/>
      </rPr>
      <t xml:space="preserve"> - 확정안 예시) </t>
    </r>
    <r>
      <rPr>
        <sz val="9"/>
        <color theme="1"/>
        <rFont val="KB금융 본문체 Light"/>
        <family val="3"/>
        <charset val="129"/>
      </rPr>
      <t>대출계좌 보유 고객이 [상품관리 &gt; 대출]계좌 클릭시, 해당 상세메뉴 제시
                               대출계좌 미보유 고객이 [상품관리&gt;대출]계좌 클릭시, "보유하신 대출계좌가 없습니다"라는 메시지와 함께 메뉴목록 미제시
    - KB별도 확인 예정)  1안 예시) 대출계좌, 예금계좌, 펀드계좌 보유 고객에게는 전체메뉴의 [상품관리]메뉴 클릭시, 
                          공통 관리메뉴 [상품관리 &gt; 계좌, 상품관리 &gt; 이체] + [상품관리 &gt; 대출, 상품관리 &gt; 예금, 상품관리 &gt; 펀드]메뉴만 노출. 
                          나머지 관리 하위메뉴(예: 상품관리 &gt; 보험, 상품관리 &gt; 퇴직연금 등...)는 미노출 
※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r>
    <phoneticPr fontId="3" type="noConversion"/>
  </si>
  <si>
    <t>2/23(화) 오전 전문위원 요건확정회의시, Tech그룹 논의 필요성이 거론되었으나, KB IT 네이티브 개발 담당자로부터 Tech그룹 성능 확인 협의대상 아닌것으로 식별.</t>
    <phoneticPr fontId="3" type="noConversion"/>
  </si>
  <si>
    <t>To-Be 메뉴기준정의결과 아래산출물에 정의완료함
BFE_IA구조도.xlsx</t>
    <phoneticPr fontId="3" type="noConversion"/>
  </si>
  <si>
    <t>[3/5] 요구사항 변경 협의 完
BFE-62000
BFE-62030
BFE-62040
2/24(수) 17시 요건확정회의 진행
'-자산관리에서는 자산관리 필요 내용만 리스트 형태로 제공
  (캘린더 메인은 개인화에서 진행)
-상품출시안내(ELS청약) 은 "고객유형분류"의 한 유형일때 실행 -&gt; BEF-16080 연계
-Tech협의 : 오늘의 할일 알림중 자산관리 관련 내역 추출 및 고객 friednly 한 메시지로 제공 가능한지 확인필요. (해당 알림이 직원 단말에서 제공되는 정보임)</t>
    <phoneticPr fontId="3" type="noConversion"/>
  </si>
  <si>
    <t>[3/5] 요구사항 변경 협의 完
BFE-62050
2/24(수) 17시 요건확정회의 진행
웹뷰 연계 이슈 없음</t>
    <phoneticPr fontId="3" type="noConversion"/>
  </si>
  <si>
    <t>[3/5] 요구사항 변경 협의 完
BFE-62010
2/24(수) 17시 요건확정회의 진행
'- Tech협의 : 비대면에 효율화된 거래 생성 가능여부 확인
   (수익율관련 다수거래 예상으로 속도 이슈)
- WM 고도화 내용 파악 후 의사결정(2/25(목) 회의 예정)</t>
    <phoneticPr fontId="3" type="noConversion"/>
  </si>
  <si>
    <t>[3/5] 요구사항 변경 협의 完
BFE-62070
2/24(수) 17시 요건확정회의 진행
'-계산결과 임시저장 가능해야함 : DB생성 필요(확정)
- 계산결과의 복잡성/로직 등 세무사와 최종 확인 필요(김효영) -&gt; 관련 엑셀 파일 있음
-Admin 관리 기능이 필요한지 결정 필요(마영신) -&gt; 세법이 바뀔때마다 유지 보수 필요 이슈 등 포함</t>
    <phoneticPr fontId="3" type="noConversion"/>
  </si>
  <si>
    <t>[3/5] 요구사항 변경 협의 完
BFE-62060
2/24(수) 17시 요건확정회의 진행
'- 맞춤설계 고도화 반영으로 진행
- 간편설계는 As-Is 전환 개발</t>
    <phoneticPr fontId="3" type="noConversion"/>
  </si>
  <si>
    <t>[3/5] 요구사항 변경 협의 完
BFE-62080
2/24(수) 17시 요건확정회의 진행
(테크그룹) 상담이력 데이터 확인 필요</t>
    <phoneticPr fontId="3" type="noConversion"/>
  </si>
  <si>
    <t>[3/5] 요구사항 변경 협의 完
BFE-62090
2/24(수) 17시 요건확정회의 진행
웹뷰 연계 이슈 없음</t>
    <phoneticPr fontId="3" type="noConversion"/>
  </si>
  <si>
    <t>[3/5] 요구사항 변경 협의 完
BFE-62020
2/24(수) 17시 요건확정회의 진행
'-Tech협의(박봉기팀장,홍미나과장) : 유형 제공 협의필요</t>
    <phoneticPr fontId="3" type="noConversion"/>
  </si>
  <si>
    <t>KB 금융그룹 통합메뉴 신설</t>
    <phoneticPr fontId="3" type="noConversion"/>
  </si>
  <si>
    <t>- 계열사 API 기반 New스타뱅킹 내 화면 설계 및 개발 : 7개화면 설계 및 개발
     ㅇ 대상 : 모바일인증서 로그인 기반 스타뱅킹 접속 고객
     ㅇ 아이콘 위치 : 홈화면 내 'KB금융그룹'
          ※ 최초 1회 제3자정보제공동의&amp;SSO 동의 1회 필요
          ※ 모바일인증서 로그인 고객이 아닌 경우, 로그인 화면으로 Hisory Back → 모바일인증서 로그인 유도 또는 모바일인증서 발급 유도
     ㅇ KB금융그룹 통합화면(1개) : 스타뱅킹 자체구현
        .  (상단)KB금융그룹 계열사 포커스블록, (하단)계열사 App 안내/SSO 연계 구현
     ㅇ 계열사별 화면구성(카드,증권,손해보험,캐피탈,저축은행,생명보험 등 6개화면) : 스타뱅킹 자체구현
        .  (상단)자산현황 및 상세정보 제공 영역(계열사 API 기반), (하단)주요서비스 제공영역(카드,증권,손해보험 3개사만 해당, In-App-Browser기반)
           ※ 캐피탈, 생명보험, 저축은행 서브화면은 계열사 API 기반 조회성 정보 限 제공
[관련 파일 참조]
     - 상세화PPT 내 3~13Page 영역 상세 및 기준 참고
     - 파일명 : NEW KB스타뱅킹 구축_전문위원_07.확장형종합금융플랫폼_전문위원_KB금융그룹 통합메뉴 신설.pptx</t>
    <phoneticPr fontId="3" type="noConversion"/>
  </si>
  <si>
    <t>카드,증권,손해보험 서브화면 내 주요서비스 개발협의 完 (계열사 개발Ownereship)
*근기: 20210217_전문위원(확장형종합금융플랫폼)_전문위원요구사항공유_v1.0</t>
    <phoneticPr fontId="3" type="noConversion"/>
  </si>
  <si>
    <t>통합연계플랫폼부</t>
    <phoneticPr fontId="3" type="noConversion"/>
  </si>
  <si>
    <t>양민규 과장</t>
    <phoneticPr fontId="3" type="noConversion"/>
  </si>
  <si>
    <t>조세형과장
이재민대리</t>
    <phoneticPr fontId="3" type="noConversion"/>
  </si>
  <si>
    <t>BFE-17020</t>
    <phoneticPr fontId="3" type="noConversion"/>
  </si>
  <si>
    <t>계열사 거래정보연동</t>
    <phoneticPr fontId="3" type="noConversion"/>
  </si>
  <si>
    <t>- 계열사 API 기반 거래정보 연동을 통한 은행거래내역 화면 및 조회기능 개발 : 카드,증권,손보,생보,저축은행,캐피탈 등 7개 계열사 대상 은행거래내역-상세 거래정보 정의
※ 계열사별 상세 거래 Scene 정의 시 기존 KB금융그룹 내 사용되는 계열사 API 사용을 원칙으로 함(카드,증권,손보,생보,저축은행)
[관련 파일 참조]
     - 상세화PPT 내 3~12Page 영역 상세 및 기준 참고
     - 파일명 : NEW KB스타뱅킹 구축_전문위원_07.확장형종합금융플랫폼_전문위원_은행 거래내역조회 – 계열사 거래정보 연동.pptx</t>
    <phoneticPr fontId="3" type="noConversion"/>
  </si>
  <si>
    <t>계열사 API개발이 신규도출 되었을 경우, 은행 거래내역-계열사 거래정보 연계 가능영역 에서 제외하겠음
*근기: 20210217_전문위원(확장형종합금융플랫폼)_전문위원요구사항공유_v1.0</t>
    <phoneticPr fontId="3" type="noConversion"/>
  </si>
  <si>
    <t>20210217_전문위원(확장형종합금융플랫폼)_회의록_전문위원요구사항공유_v1.0.docx</t>
    <phoneticPr fontId="3" type="noConversion"/>
  </si>
  <si>
    <t>통합연계플랫폼부
코어뱅킹</t>
    <phoneticPr fontId="3" type="noConversion"/>
  </si>
  <si>
    <t>양민규 과장
강경엽 차장</t>
    <phoneticPr fontId="3" type="noConversion"/>
  </si>
  <si>
    <t>스타뱅킹 내 KB Pay 서비스 내재화</t>
    <phoneticPr fontId="3" type="noConversion"/>
  </si>
  <si>
    <r>
      <rPr>
        <sz val="9"/>
        <rFont val="KB금융 본문체 Light"/>
        <family val="3"/>
        <charset val="129"/>
      </rPr>
      <t>- 스타뱅킹 내 KB Pay 서비스 내재화
   ㅇ 이용방식 : 입출금 계좌 기반 모바일인증서 인증 방식
   ㅇ 이용가능고객 : 기존 스타뱅킹 고객 대상
   ㅇ 서비스 범위 : 온라인 결제(PC결제), 오프라인결제(바코드), 서비스연계(공과금 납부)
   ㅇ 개발범위
        - 간편결제(바코드,PC결제) 기능 : 스타뱅킹 자체구현(홈화면)
        - 간편결제 외 KB Pay 서비스(①KB Pay 회원가입, ②결제수단 추가/삭제, ③신용/체크카드 신청 등 3개)
           : In-App-Browser방식으로 KB Pay 웹버전 연계 (KB통합그룹 메뉴 내 카드사 주요서비스로 제공하는 화면과 동일 화면 공유)
             ※ 간편결제 클릭 시, ①KB Pay 회원가입 &amp; ②결제수단 추가/삭제가 선결되지 않았을 경우 ① 또는 ② 모바일Web화면으로 분기처리
        - 스타뱅킹 금융서비스에  KB Pay 결제수단 추가(공과금 납부)
           : In-App-Browser방식으로 KB Pay 웹버전 &amp; App-to-App으로 KB Pay App 연계
[관련 파일 참조]
     - 상세화PPT 내 3~12Page 영역 상세 및 기준 참고
     - 파일명 : NEW KB스타뱅킹 구축_전문위원_07.확장형종합금융플랫폼_전문위원_스타뱅킹 내 KB Pay 내재화.pptx</t>
    </r>
    <phoneticPr fontId="3" type="noConversion"/>
  </si>
  <si>
    <t>KB Pay 간편결제 Scene은 API 인터페이스 방식으로 스타뱅킹 내에서 화면 개발
*근기: 20210217_전문위원(확장형종합금융플랫폼)_전문위원요구사항공유_v1.0</t>
    <phoneticPr fontId="3" type="noConversion"/>
  </si>
  <si>
    <t>영수증 이미지 저장</t>
    <phoneticPr fontId="29" type="noConversion"/>
  </si>
  <si>
    <t>BFE-23041</t>
    <phoneticPr fontId="3" type="noConversion"/>
  </si>
  <si>
    <t>수수료 조회</t>
    <phoneticPr fontId="29" type="noConversion"/>
  </si>
  <si>
    <t xml:space="preserve">BFE-23040 - 영수증 이미지 저장' 요건을 대체(기존 요건 삭제)하여 신규 요건으로 등록함.
수수료 조회 제공 대상 거래: 단말의 1070-003 거래
조회 대상 거래가 모두 적재되고 있는지 확인 후 거래 추가 필요시 담당 IT 확인 후 추가 협의 진행. 
단말의 1070-003 화면 거래를 중심으로 대면에서 발생한 고객의 수수료 내역을 조회하여 제공하고, 화면에 표기된 내용을 기준으로 이미지 저장 기능을 제공함. </t>
    <phoneticPr fontId="29" type="noConversion"/>
  </si>
  <si>
    <t xml:space="preserve">[0222] 테크그룹 화상회의
영수증 발급이 아닌, 대면 납부 수수료 내역 조회 요건으로 진행 가능 확인.
1070-003 화면 거래에서는 조회시 기간설정이 1주일로 되어 있으나 조회 기간 확대 여부는 추가 확인이 필요함. </t>
    <phoneticPr fontId="3" type="noConversion"/>
  </si>
  <si>
    <t>20210222_UXUI(공통.기타)_회의록_요구사항분석_영수증이미지저장_삭제_수수료조회_추가_ver1.0.docx</t>
    <phoneticPr fontId="3" type="noConversion"/>
  </si>
  <si>
    <t>공통(기타)</t>
    <phoneticPr fontId="3" type="noConversion"/>
  </si>
  <si>
    <t>Biz-208</t>
    <phoneticPr fontId="3" type="noConversion"/>
  </si>
  <si>
    <t>My자산 현황 제공</t>
    <phoneticPr fontId="29" type="noConversion"/>
  </si>
  <si>
    <t>BFE-62000</t>
    <phoneticPr fontId="3" type="noConversion"/>
  </si>
  <si>
    <r>
      <t xml:space="preserve">- 개인별 종합 자산 정보 제공
- 마이데이터 동의 여부에 따라 보여지는 My자산 구성요소 및
   기술 방식 상이
   ① </t>
    </r>
    <r>
      <rPr>
        <u/>
        <sz val="9"/>
        <color theme="1"/>
        <rFont val="KB금융 본문체 Light"/>
        <family val="3"/>
        <charset val="129"/>
      </rPr>
      <t>마이데이터 미동의 고객 : 내부 데이터 및 오픈뱅킹 결합</t>
    </r>
    <r>
      <rPr>
        <sz val="9"/>
        <color theme="1"/>
        <rFont val="KB금융 본문체 Light"/>
        <family val="3"/>
        <charset val="129"/>
      </rPr>
      <t xml:space="preserve">
       ㅇ My자산 기준: 금융 수신자산(현금/예적금/투자상품/
                               외환/연금(IRP포함)/보험/주식)
       ㅇ 오픈뱅킹 포함
       ㅇ 주식의 경우 계열사 API 통한 KB증권 합산금액
       ㅇ 주식합산액 클릭 시 'KB증권' 메뉴 연결 여부 팝업(검토要)
   ② </t>
    </r>
    <r>
      <rPr>
        <u/>
        <sz val="9"/>
        <color theme="1"/>
        <rFont val="KB금융 본문체 Light"/>
        <family val="3"/>
        <charset val="129"/>
      </rPr>
      <t>마이데이터 동의 고객 : 마이데이터플랫폼단 API 전송 및 전문 개발</t>
    </r>
    <r>
      <rPr>
        <sz val="9"/>
        <color theme="1"/>
        <rFont val="KB금융 본문체 Light"/>
        <family val="3"/>
        <charset val="129"/>
      </rPr>
      <t xml:space="preserve">
       ㅇ (가칭)My종합자산조회 등 마이데이터 영역에서 합산한 고객 총자산 및 자산군별 총액 API로 제공받아 표시
          · 금융 자산 및 비금융 자산 포함 
       ㅇ 마이데이터 내 오픈뱅킹 반영함을 가정
- 부동산 등 비금융 합산 희망 경우 (가칭)My종합자산조회 연결
- '더보기'영역 내 표출 depth 결정 필요(상품군단위 or 상품계좌단위)
- 메인화면(총자산) → 더보기 클릭시(자산군 합계액/계좌단위) 
   → 자세히보기 클릭 시 (가칭)My종합자산조회 및 투자현황 연결
- 확인필요: 팝업 -&gt; 마이데이터웹뷰-&gt; (백버튼 클릭시) 팝업 여부
- My자산 화면 내 (on/off 등 선택버튼) 통한 비금융, 대출 등 선택기능 추가 및
   변경 내용 파라미트 통한 (가칭)My종합자산조회 반영</t>
    </r>
    <phoneticPr fontId="29" type="noConversion"/>
  </si>
  <si>
    <t>마이데이터 프로젝트 진행에 의해 조회항목 및 전문 제공을 기준으로 개발 예정.</t>
    <phoneticPr fontId="3" type="noConversion"/>
  </si>
  <si>
    <t>백은경 팀장
정겸연 차장</t>
    <phoneticPr fontId="3" type="noConversion"/>
  </si>
  <si>
    <t>김효영 대리</t>
    <phoneticPr fontId="3" type="noConversion"/>
  </si>
  <si>
    <t>Biz-209</t>
    <phoneticPr fontId="3" type="noConversion"/>
  </si>
  <si>
    <t>투자수익률 및
분석 진단, 상품추천 로직</t>
    <phoneticPr fontId="29" type="noConversion"/>
  </si>
  <si>
    <t>BFE-62010</t>
    <phoneticPr fontId="3" type="noConversion"/>
  </si>
  <si>
    <r>
      <t>- 現 마이스타 및 인터넷뱅킹/스타뱅킹 메뉴(As-is) 및 개발예정(21.10)인 WM통합자산관리플랫폼(To-be)의 복합 요소 구현 
- 투자자산현황: 
   ㅇ 정의: 펀드, 신탁, 주식 등 원금손실 가능 상품 합계액 및 비중
- 투자자산수익률(</t>
    </r>
    <r>
      <rPr>
        <i/>
        <u/>
        <sz val="9"/>
        <color theme="1"/>
        <rFont val="KB금융 본문체 Light"/>
        <family val="3"/>
        <charset val="129"/>
      </rPr>
      <t>現 마이스타 WM(자산관리)&gt;영업지원&gt;종합고객수익률</t>
    </r>
    <r>
      <rPr>
        <sz val="9"/>
        <color theme="1"/>
        <rFont val="KB금융 본문체 Light"/>
        <family val="3"/>
        <charset val="129"/>
      </rPr>
      <t>)
   ㅇ 종합고객수익률, 상품군 수익률(수신, 펀드, 신탁, 연금), 계좌별수익률 확인가능(타행 정보 不포함)
   ㅇ 해지계좌 포함 기능을 통해 현재 보유중 상품, 1년 전체 상품 구현 가능
- 자산분석/진단: peer그룹 비교 등 자산현황 진단
   ㅇ 인터넷뱅킹 자산관리 內 자산분석 진단
- AI연계상품추천(포트폴리오 3가지, 상품 추천 1가지)
   ㅇ 케이봇쌤: 기존 활용
   ㅇ 맞춤형포트폴리오:</t>
    </r>
    <r>
      <rPr>
        <b/>
        <sz val="9"/>
        <color theme="1"/>
        <rFont val="KB금융 본문체 Light"/>
        <family val="3"/>
        <charset val="129"/>
      </rPr>
      <t xml:space="preserve"> </t>
    </r>
    <r>
      <rPr>
        <sz val="9"/>
        <color theme="1"/>
        <rFont val="KB금융 본문체 Light"/>
        <family val="3"/>
        <charset val="129"/>
      </rPr>
      <t>To-be 자산관리플랫폼 연계항목</t>
    </r>
    <r>
      <rPr>
        <b/>
        <sz val="9"/>
        <color theme="1"/>
        <rFont val="KB금융 본문체 Light"/>
        <family val="3"/>
        <charset val="129"/>
      </rPr>
      <t xml:space="preserve">
     </t>
    </r>
    <r>
      <rPr>
        <sz val="9"/>
        <color theme="1"/>
        <rFont val="KB금융 본문체 Light"/>
        <family val="3"/>
        <charset val="129"/>
      </rPr>
      <t>대면채널과의 동시 개발 추진(WM투자전략부 우선 지원)
   ㅇ AI연계 맞춤펀드 추천: 마케팅허브 상품 추천 로직 준용
투자자산수익률  &gt; 데이터분석플랫폼부(테크그룹) 
전반적인 내용의 데이터가 대고객 비오픈 요건이라, 
김효영 대리 정리후 -&gt; WM 담당현업 + 테크그룹 협의(주희영)</t>
    </r>
    <phoneticPr fontId="29" type="noConversion"/>
  </si>
  <si>
    <t xml:space="preserve">WM통합자산관리플랫폼 진행 중 관련 전문 제공을 기준으로 개발 진행 예정. </t>
    <phoneticPr fontId="3" type="noConversion"/>
  </si>
  <si>
    <t>백은경 팀장
주희영 차장</t>
    <phoneticPr fontId="3" type="noConversion"/>
  </si>
  <si>
    <t>Biz-210</t>
    <phoneticPr fontId="3" type="noConversion"/>
  </si>
  <si>
    <t>고객유형분류 및
AI 개인화 메뉴추천</t>
    <phoneticPr fontId="29" type="noConversion"/>
  </si>
  <si>
    <t>BFE-62020</t>
    <phoneticPr fontId="3" type="noConversion"/>
  </si>
  <si>
    <r>
      <t xml:space="preserve">-Data 기반 고객유형 분류(이용채널, 연령, 성별, aum, 여신비율 등 데이터 기반 고객 페르소나 분류, 약 10개 예정)
  → </t>
    </r>
    <r>
      <rPr>
        <u/>
        <sz val="9"/>
        <color theme="1"/>
        <rFont val="KB금융 본문체 Light"/>
        <family val="3"/>
        <charset val="129"/>
      </rPr>
      <t>기본 데이터 요소는 [71-02-131] 개인전담관리고객 등록변경 해지 및 [72-0A-113] 고객군목록 내 분류한 고객 데이터 조합 예정</t>
    </r>
    <r>
      <rPr>
        <sz val="9"/>
        <color theme="1"/>
        <rFont val="KB금융 본문체 Light"/>
        <family val="3"/>
        <charset val="129"/>
      </rPr>
      <t xml:space="preserve">
- 자산관리 메뉴 나열 후 고객유형 별 추천 메뉴 정비
- 고객pin 별 유형 분류를 위한 별도 DB테이블 적재 필요
※ 유형별 추천 메뉴는 변경 가능(어드민 관리 필요)</t>
    </r>
    <phoneticPr fontId="29" type="noConversion"/>
  </si>
  <si>
    <r>
      <rPr>
        <sz val="10"/>
        <color rgb="FF0000FF"/>
        <rFont val="KB금융 본문체 Light"/>
        <family val="3"/>
        <charset val="129"/>
      </rPr>
      <t>[0504]</t>
    </r>
    <r>
      <rPr>
        <sz val="10"/>
        <rFont val="KB금융 본문체 Light"/>
        <family val="3"/>
        <charset val="129"/>
      </rPr>
      <t>조건부승인-&gt;승인</t>
    </r>
    <phoneticPr fontId="3" type="noConversion"/>
  </si>
  <si>
    <t>백은경 팀장
이용성 수석</t>
    <phoneticPr fontId="3" type="noConversion"/>
  </si>
  <si>
    <t>Biz-211</t>
    <phoneticPr fontId="3" type="noConversion"/>
  </si>
  <si>
    <t>My캘린더 기능 제공</t>
    <phoneticPr fontId="29" type="noConversion"/>
  </si>
  <si>
    <t>BFE-62030</t>
    <phoneticPr fontId="3" type="noConversion"/>
  </si>
  <si>
    <t>- 자산관리 관련 알림 내역 명시(약 1주일)
- 알림 내역: 상품 만기 알림,상품 출시 안내( ELS 청약 등)
- 개인화 영역 미팅 결과 '자산관리'관점 요건 정의 시 금융캘린더 활용
   단, 자산관리에선 달력 없음</t>
    <phoneticPr fontId="29" type="noConversion"/>
  </si>
  <si>
    <t>백은경 팀장
제현민 대리</t>
    <phoneticPr fontId="3" type="noConversion"/>
  </si>
  <si>
    <t>Biz-212</t>
    <phoneticPr fontId="3" type="noConversion"/>
  </si>
  <si>
    <t>My거래 정보</t>
    <phoneticPr fontId="29" type="noConversion"/>
  </si>
  <si>
    <t>BFE-62040</t>
    <phoneticPr fontId="3" type="noConversion"/>
  </si>
  <si>
    <t>- 자산관리 메뉴 내 고객 접속 log 분석을 통한 고객별 최신 이용거래, 최다 거래 고객 제시
- 최근 한달 or 최근 1년 등 기간 설정 협의
- 뉴스뱅 타 서비스 연계 및 접속 로그에 대한 db 전환 필요
- 개인화 영역과 일정 부분 통일(최다 정보 OK, 최신은 추가요건 협의 필요)
- 고정 메뉴의 경우 개인화에선 '즐겨찾기 메뉴' 활용</t>
    <phoneticPr fontId="3" type="noConversion"/>
  </si>
  <si>
    <r>
      <rPr>
        <sz val="10"/>
        <color rgb="FF0000FF"/>
        <rFont val="KB금융 본문체 Light"/>
        <family val="3"/>
        <charset val="129"/>
      </rPr>
      <t>[0504</t>
    </r>
    <r>
      <rPr>
        <sz val="10"/>
        <rFont val="KB금융 본문체 Light"/>
        <family val="3"/>
        <charset val="129"/>
      </rPr>
      <t>]조건부승인-&gt;승인</t>
    </r>
    <phoneticPr fontId="3" type="noConversion"/>
  </si>
  <si>
    <t>마이데이터플랫폼단
데이터엔지니어링플랫폼부</t>
    <phoneticPr fontId="3" type="noConversion"/>
  </si>
  <si>
    <t>백은경 팀장
김종현 과장</t>
    <phoneticPr fontId="3" type="noConversion"/>
  </si>
  <si>
    <t>Biz-213</t>
    <phoneticPr fontId="3" type="noConversion"/>
  </si>
  <si>
    <t>마이데이터 모바일웹 연결</t>
    <phoneticPr fontId="29" type="noConversion"/>
  </si>
  <si>
    <t>BFE-62050</t>
    <phoneticPr fontId="3" type="noConversion"/>
  </si>
  <si>
    <t>- 자산관리&gt;(가칭)My종합자산조회 메뉴 웹페이지 구현
- 접속 시 마이데이터 미동의 고객에 대한 가입동의 프로세스
- 자산 및 비금융 data API 제공</t>
    <phoneticPr fontId="29" type="noConversion"/>
  </si>
  <si>
    <t xml:space="preserve">마이데이터 프로젝트 진행에 의해 마이데이터 모바일웹 서비스 구축된 화면에 메뉴 링크 예정. </t>
    <phoneticPr fontId="3" type="noConversion"/>
  </si>
  <si>
    <t>KB국민카드
마이데이터플랫폼단</t>
    <phoneticPr fontId="3" type="noConversion"/>
  </si>
  <si>
    <t>김수찬 차장
백은경 팀장</t>
    <phoneticPr fontId="3" type="noConversion"/>
  </si>
  <si>
    <t>Biz-214</t>
    <phoneticPr fontId="3" type="noConversion"/>
  </si>
  <si>
    <t>은퇴연금 메뉴 고도화</t>
    <phoneticPr fontId="29" type="noConversion"/>
  </si>
  <si>
    <t>BFE-62060</t>
    <phoneticPr fontId="3" type="noConversion"/>
  </si>
  <si>
    <t>- 현재 은퇴연금 메뉴에 UX/UI측면의 고도화(연금기획부 진행)
- KB골든라이프X(웹페이지)에 대한 배너 신설</t>
    <phoneticPr fontId="29" type="noConversion"/>
  </si>
  <si>
    <t>Biz-215</t>
    <phoneticPr fontId="3" type="noConversion"/>
  </si>
  <si>
    <t>세테크 관련 정보제공</t>
    <phoneticPr fontId="29" type="noConversion"/>
  </si>
  <si>
    <t>BFE-62070</t>
    <phoneticPr fontId="3" type="noConversion"/>
  </si>
  <si>
    <t>- 금융정보 제공 동의(현 시행중) 통한 세금우대 현황 제공
- 현 엑셀 계산기(마이스타X)로 존재하는 세금 계산 항목에 대한 내재로직화 
- 어드민 관리 기능 필요</t>
    <phoneticPr fontId="29" type="noConversion"/>
  </si>
  <si>
    <t>Biz-216</t>
    <phoneticPr fontId="3" type="noConversion"/>
  </si>
  <si>
    <t>전문가 상담 채널 연계</t>
    <phoneticPr fontId="3" type="noConversion"/>
  </si>
  <si>
    <t>BFE-62080</t>
    <phoneticPr fontId="3" type="noConversion"/>
  </si>
  <si>
    <t>- 투자현황 분석 진단 후 상담 원하는 고객에게 스뱅 내 기 존재하는 '영업점 예약시스템, vip창구 예약시스템', '스타링크 상담' 연결
- 전문가 상담 별도 메뉴 통해 부동산, 은퇴, 세무 등 대면 상담 채널 예약 연결
- 인터넷뱅킹 구현 중인 전문가 칼럼 등 연계 제공</t>
    <phoneticPr fontId="29" type="noConversion"/>
  </si>
  <si>
    <t>개인뱅킹플랫폼부
연금기획부</t>
    <phoneticPr fontId="3" type="noConversion"/>
  </si>
  <si>
    <t>Biz-217</t>
    <phoneticPr fontId="3" type="noConversion"/>
  </si>
  <si>
    <t>연계 서비스로의 호환</t>
    <phoneticPr fontId="3" type="noConversion"/>
  </si>
  <si>
    <t>BFE-62090</t>
    <phoneticPr fontId="3" type="noConversion"/>
  </si>
  <si>
    <t>- 자산관리 메뉴에서 기구현 타 서비스로의 연결 메뉴 신설
   ㅇ kb증권 -&gt; 확장형 플랫폼 구현 
   ㅇ 부동산 -&gt; 리브부동산 모바일 웹페이지 단순 연결   
   ㅇ kb손해보험 -&gt; 확장형 플랫폼 구현
   ※ 메인 브릿지 페이지 개발</t>
    <phoneticPr fontId="29" type="noConversion"/>
  </si>
  <si>
    <t>KB국민카드
마이데이터플랫폼단
리브부동산플랫폼부</t>
    <phoneticPr fontId="3" type="noConversion"/>
  </si>
  <si>
    <t>김수찬 차장
백은경 팀장
김규인 팀장</t>
    <phoneticPr fontId="3" type="noConversion"/>
  </si>
  <si>
    <t>Biz-218</t>
    <phoneticPr fontId="3" type="noConversion"/>
  </si>
  <si>
    <t>검색업무용 자원 구성</t>
    <phoneticPr fontId="3" type="noConversion"/>
  </si>
  <si>
    <t>BFE-91150</t>
    <phoneticPr fontId="3" type="noConversion"/>
  </si>
  <si>
    <t>검색업무용 자원 필요</t>
    <phoneticPr fontId="3" type="noConversion"/>
  </si>
  <si>
    <t>- 신규검색기능을 위한 서버 자원 필요
  -&gt; KB에서 운영중인 자원을 활용에서 VM생성하여 구성</t>
    <phoneticPr fontId="29" type="noConversion"/>
  </si>
  <si>
    <t>- 검색업무를 위해 KB에서 운영중인 자원을 활용</t>
    <phoneticPr fontId="3" type="noConversion"/>
  </si>
  <si>
    <t>20210129_인프라_회의록_인프라요구사항정의_v1.0.docx
20210105_인프라_회의록_인프라요구사항정의_v1.0.docx
20210216_인프라_회의록_검색.챗봇상담요구.개발환경 협의_v1.0.docx</t>
    <phoneticPr fontId="3" type="noConversion"/>
  </si>
  <si>
    <t>ACE</t>
    <phoneticPr fontId="3" type="noConversion"/>
  </si>
  <si>
    <t>반영점검사항</t>
    <phoneticPr fontId="3" type="noConversion"/>
  </si>
  <si>
    <t>스타뱅킹2부_biz</t>
    <phoneticPr fontId="3" type="noConversion"/>
  </si>
  <si>
    <t>공통</t>
    <phoneticPr fontId="3" type="noConversion"/>
  </si>
  <si>
    <t xml:space="preserve">UX/UI </t>
    <phoneticPr fontId="3" type="noConversion"/>
  </si>
  <si>
    <t>앱접근성</t>
    <phoneticPr fontId="3" type="noConversion"/>
  </si>
  <si>
    <t>-앱접근성 가이드 준수(솔루션 점검 포함)</t>
    <phoneticPr fontId="3" type="noConversion"/>
  </si>
  <si>
    <t>- 마케팅 소구 포인트 반영된 간결한 문구, 고객친화적/직관적 설명
- ‘고객언어관리’ 시스템을 이용한 용어 교정</t>
    <phoneticPr fontId="3" type="noConversion"/>
  </si>
  <si>
    <t>상품탐색</t>
    <phoneticPr fontId="3" type="noConversion"/>
  </si>
  <si>
    <t>검색기능 고도화</t>
    <phoneticPr fontId="3" type="noConversion"/>
  </si>
  <si>
    <t>데이터 활용 다양화</t>
    <phoneticPr fontId="3" type="noConversion"/>
  </si>
  <si>
    <t xml:space="preserve">상품 카테고리 정비
</t>
    <phoneticPr fontId="3" type="noConversion"/>
  </si>
  <si>
    <t>명확한 추천사유 제시</t>
    <phoneticPr fontId="3" type="noConversion"/>
  </si>
  <si>
    <t>연관상품 추천</t>
    <phoneticPr fontId="3" type="noConversion"/>
  </si>
  <si>
    <t>상품가입 이어가기주) 개선</t>
    <phoneticPr fontId="3" type="noConversion"/>
  </si>
  <si>
    <t>상품탐색 히스토리 관리</t>
    <phoneticPr fontId="3" type="noConversion"/>
  </si>
  <si>
    <t>상품비교</t>
    <phoneticPr fontId="3" type="noConversion"/>
  </si>
  <si>
    <t>혜택 시뮬레이션</t>
    <phoneticPr fontId="3" type="noConversion"/>
  </si>
  <si>
    <t>상품조회</t>
    <phoneticPr fontId="3" type="noConversion"/>
  </si>
  <si>
    <t xml:space="preserve">금융상품몰 화면 간소화
</t>
    <phoneticPr fontId="3" type="noConversion"/>
  </si>
  <si>
    <t>앱 이탈 방지</t>
    <phoneticPr fontId="3" type="noConversion"/>
  </si>
  <si>
    <t>마케팅 요소 적용</t>
    <phoneticPr fontId="3" type="noConversion"/>
  </si>
  <si>
    <t>콘텐츠</t>
    <phoneticPr fontId="3" type="noConversion"/>
  </si>
  <si>
    <t xml:space="preserve">라이브 방송 </t>
    <phoneticPr fontId="3" type="noConversion"/>
  </si>
  <si>
    <t>라이브 방송 관리</t>
    <phoneticPr fontId="3" type="noConversion"/>
  </si>
  <si>
    <t>동영상 커스터마이징 고도화</t>
    <phoneticPr fontId="3" type="noConversion"/>
  </si>
  <si>
    <t>상품-콘텐츠 연계 강화</t>
    <phoneticPr fontId="3" type="noConversion"/>
  </si>
  <si>
    <t>공통</t>
    <phoneticPr fontId="3" type="noConversion"/>
  </si>
  <si>
    <t>상품가입</t>
    <phoneticPr fontId="3" type="noConversion"/>
  </si>
  <si>
    <t>외화예금</t>
    <phoneticPr fontId="3" type="noConversion"/>
  </si>
  <si>
    <t>펀드</t>
    <phoneticPr fontId="3" type="noConversion"/>
  </si>
  <si>
    <t>신탁</t>
    <phoneticPr fontId="3" type="noConversion"/>
  </si>
  <si>
    <t>청약</t>
    <phoneticPr fontId="3" type="noConversion"/>
  </si>
  <si>
    <t>보험</t>
    <phoneticPr fontId="3" type="noConversion"/>
  </si>
  <si>
    <t>상품관리(어드민)</t>
    <phoneticPr fontId="3" type="noConversion"/>
  </si>
  <si>
    <t>모바일용 관리화면 구축</t>
    <phoneticPr fontId="3" type="noConversion"/>
  </si>
  <si>
    <t>관리편의성 제고</t>
    <phoneticPr fontId="3" type="noConversion"/>
  </si>
  <si>
    <t>결재관리</t>
    <phoneticPr fontId="3" type="noConversion"/>
  </si>
  <si>
    <t>상품태그 관리</t>
    <phoneticPr fontId="3" type="noConversion"/>
  </si>
  <si>
    <t>상품 판매실적 조회</t>
    <phoneticPr fontId="3" type="noConversion"/>
  </si>
  <si>
    <t>직원용 가이드</t>
    <phoneticPr fontId="3" type="noConversion"/>
  </si>
  <si>
    <t>비기능</t>
    <phoneticPr fontId="3" type="noConversion"/>
  </si>
  <si>
    <t>비기능</t>
    <phoneticPr fontId="3" type="noConversion"/>
  </si>
  <si>
    <t>고객 친화적 용어 사용</t>
    <phoneticPr fontId="3" type="noConversion"/>
  </si>
  <si>
    <t>기능</t>
    <phoneticPr fontId="3" type="noConversion"/>
  </si>
  <si>
    <t>기능</t>
    <phoneticPr fontId="3" type="noConversion"/>
  </si>
  <si>
    <t>기능</t>
    <phoneticPr fontId="3" type="noConversion"/>
  </si>
  <si>
    <t>KB스타뱅킹 금융상품몰 개편_회의록_요구사항분석_어드민_220520.docx</t>
    <phoneticPr fontId="3" type="noConversion"/>
  </si>
  <si>
    <t>KB스타뱅킹 금융상품몰 개편_회의록_요구사항분석_어드민_220520.docx</t>
    <phoneticPr fontId="3" type="noConversion"/>
  </si>
  <si>
    <t>KB스타뱅킹 금융상품몰 개편_회의록_요구사항분석_공통,수신,여신_20220511.docx
KB스타뱅킹 금융상품몰 개편_회의록_요구사항분석_어드민_220520.docx</t>
    <phoneticPr fontId="3" type="noConversion"/>
  </si>
  <si>
    <t>KB스타뱅킹 금융상품몰 개편_회의록_요구사항분석_공통,수신,여신_20220511.docx</t>
  </si>
  <si>
    <t>KB스타뱅킹 금융상품몰 개편_회의록_요구사항분석_공통,수신,여신_20220511.docx</t>
    <phoneticPr fontId="3" type="noConversion"/>
  </si>
  <si>
    <t>KB스타뱅킹 금융상품몰 개편_회의록_요구사항분석_공통,수신,여신_20220511.docx</t>
    <phoneticPr fontId="3" type="noConversion"/>
  </si>
  <si>
    <t>KB스타뱅킹 금융상품몰 개편_회의록_요구사항분석_신탁, ISA_20220512.docx</t>
    <phoneticPr fontId="3" type="noConversion"/>
  </si>
  <si>
    <t>KB스타뱅킹 금융상품몰 개편_회의록_요구사항분석_신탁, ISA_20220512.docx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</si>
  <si>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개편_회의록_요구사항분석_펀드_20220512.docx
KB스타뱅킹 금융상품몰 개편_회의록_요구사항분석_신탁, ISA_20220512.docx</t>
    <phoneticPr fontId="3" type="noConversion"/>
  </si>
  <si>
    <t>KB스타뱅킹 금융상품몰 개편_회의록_요구사항분석_신탁, ISA_20220512.docx
KB스타뱅킹 금융상품몰 개편_회의록_요구사항분석_보험_20220513.docx</t>
    <phoneticPr fontId="3" type="noConversion"/>
  </si>
  <si>
    <t>KB스타뱅킹 금융상품몰 개편_회의록_요구사항분석_공통,수신,여신_20220511.docx
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</si>
  <si>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개편_회의록_요구사항분석_펀드_20220512.docx
KB스타뱅킹 금융상품몰 개편_회의록_요구사항분석_퇴직연금_20220513.docx</t>
    <phoneticPr fontId="3" type="noConversion"/>
  </si>
  <si>
    <t>KB스타뱅킹 금융상품몰 개편_회의록_요구사항분석_공통,수신,여신_20220511.docx
KB스타뱅킹 금융상품몰 개편_회의록_요구사항분석_보험_20220513.docx</t>
    <phoneticPr fontId="3" type="noConversion"/>
  </si>
  <si>
    <t>KB스타뱅킹 금융상품몰 개편_회의록_요구사항분석_공통,수신,여신_20220511.docx
KB스타뱅킹 금융상품몰 개편_회의록_요구사항분석_신탁, ISA_20220512.docx</t>
    <phoneticPr fontId="3" type="noConversion"/>
  </si>
  <si>
    <t>KB스타뱅킹 금융상품몰 개편_회의록_요구사항분석_펀드_20220512.docx</t>
    <phoneticPr fontId="3" type="noConversion"/>
  </si>
  <si>
    <t>KB스타뱅킹 금융상품몰 개편_회의록_요구사항분석_공통,수신,여신_20220511.docx
KB스타뱅킹 금융상품몰 개편_회의록_요구사항분석_신탁, ISA_20220512.docx</t>
    <phoneticPr fontId="3" type="noConversion"/>
  </si>
  <si>
    <t>KB스타뱅킹 금융상품몰 개편_회의록_요구사항분석_공통,수신,여신_20220511.docx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</si>
  <si>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개편_회의록_요구사항분석_보험_20220513.docx</t>
    <phoneticPr fontId="3" type="noConversion"/>
  </si>
  <si>
    <t>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t>
    <phoneticPr fontId="3" type="noConversion"/>
  </si>
  <si>
    <t>KB스타뱅킹 금융상품몰 개편_회의록_요구사항분석_펀드_20220512.docx
KB스타뱅킹 금융상품몰 개편_회의록_요구사항분석_퇴직연금_20220513.docx
KB스타뱅킹 금융상품몰 개편_회의록_요구사항분석_어드민_220520.docx</t>
    <phoneticPr fontId="3" type="noConversion"/>
  </si>
  <si>
    <t>기능/비기능요구사항(취합정리 5/25)</t>
    <phoneticPr fontId="3" type="noConversion"/>
  </si>
  <si>
    <t>Biz-001</t>
    <phoneticPr fontId="3" type="noConversion"/>
  </si>
  <si>
    <t>Biz-002</t>
    <phoneticPr fontId="3" type="noConversion"/>
  </si>
  <si>
    <t>Biz-003</t>
    <phoneticPr fontId="3" type="noConversion"/>
  </si>
  <si>
    <t>Biz-004</t>
    <phoneticPr fontId="3" type="noConversion"/>
  </si>
  <si>
    <t>Biz-005</t>
    <phoneticPr fontId="3" type="noConversion"/>
  </si>
  <si>
    <t>Biz-006</t>
    <phoneticPr fontId="3" type="noConversion"/>
  </si>
  <si>
    <t>BFE-10001</t>
    <phoneticPr fontId="3" type="noConversion"/>
  </si>
  <si>
    <t>BFE-10002</t>
  </si>
  <si>
    <t>BFE-10003</t>
  </si>
  <si>
    <t>BFE-20001</t>
    <phoneticPr fontId="3" type="noConversion"/>
  </si>
  <si>
    <t>BFE-20002</t>
  </si>
  <si>
    <t>BFE-20003</t>
  </si>
  <si>
    <t>BFE-20004</t>
  </si>
  <si>
    <t>BFE-20005</t>
  </si>
  <si>
    <t>BFE-20006</t>
  </si>
  <si>
    <t>BFE-20007</t>
  </si>
  <si>
    <t>BFE-20008</t>
  </si>
  <si>
    <t>BFE-30001</t>
    <phoneticPr fontId="3" type="noConversion"/>
  </si>
  <si>
    <t>BFE-30002</t>
  </si>
  <si>
    <t>BFE-30003</t>
  </si>
  <si>
    <t>BFE-30004</t>
  </si>
  <si>
    <t>BFE-40001</t>
    <phoneticPr fontId="3" type="noConversion"/>
  </si>
  <si>
    <t>BFE-40002</t>
  </si>
  <si>
    <t>BFE-40003</t>
  </si>
  <si>
    <t>BFE-40004</t>
  </si>
  <si>
    <t>BFE-50001</t>
    <phoneticPr fontId="3" type="noConversion"/>
  </si>
  <si>
    <t>BFE-50002</t>
  </si>
  <si>
    <t>BFE-50003</t>
  </si>
  <si>
    <t>BFE-50004</t>
  </si>
  <si>
    <t>BFE-50005</t>
  </si>
  <si>
    <t>BFE-50006</t>
  </si>
  <si>
    <t>BFE-60001</t>
    <phoneticPr fontId="3" type="noConversion"/>
  </si>
  <si>
    <t>BFE-60002</t>
  </si>
  <si>
    <t>BFE-60003</t>
  </si>
  <si>
    <t>BFE-60004</t>
  </si>
  <si>
    <t>BFE-60005</t>
  </si>
  <si>
    <t>BFE-60006</t>
  </si>
  <si>
    <t>요구사항명</t>
    <phoneticPr fontId="3" type="noConversion"/>
  </si>
  <si>
    <t>KB스타뱅킹 금융상품몰 개편_회의록_요구사항분석_펀드_20220512.docx
KB스타뱅킹 금융상품몰 개편_회의록_요구사항분석_스타뱅킹3부리뷰_20220525.docx</t>
    <phoneticPr fontId="3" type="noConversion"/>
  </si>
  <si>
    <t>KB스타뱅킹 금융상품몰 개편_회의록_요구사항분석_신탁, ISA_20220512.docx
KB스타뱅킹 금융상품몰 개편_회의록_요구사항분석_스타뱅킹3부리뷰_20220525.docx</t>
    <phoneticPr fontId="3" type="noConversion"/>
  </si>
  <si>
    <t>KB스타뱅킹 금융상품몰 개편_회의록_요구사항분석_공통,수신,여신_20220511.docx
KB스타뱅킹 금융상품몰 개편_회의록_요구사항분석_보험_20220513.docx
KB스타뱅킹 금융상품몰 개편_회의록_요구사항분석_스타뱅킹3부리뷰_20220525.docx</t>
    <phoneticPr fontId="3" type="noConversion"/>
  </si>
  <si>
    <r>
      <t xml:space="preserve">- 금융상품몰 內 상품 카테고리명 및 순서 사용자 중심 개선
</t>
    </r>
    <r>
      <rPr>
        <sz val="9"/>
        <color theme="4"/>
        <rFont val="KB금융 본문체 Light"/>
        <family val="3"/>
        <charset val="129"/>
      </rPr>
      <t xml:space="preserve">  ㅇ 카테고리 변경에 따라 통합어드민&gt;마케팅&gt;상품게시관리&gt;금융상품 서브메인(스타뱅킹)의 카테고리도 변경 대응 필요</t>
    </r>
    <r>
      <rPr>
        <sz val="9"/>
        <color theme="1"/>
        <rFont val="KB금융 본문체 Light"/>
        <family val="3"/>
        <charset val="129"/>
      </rPr>
      <t xml:space="preserve">
</t>
    </r>
    <r>
      <rPr>
        <sz val="9"/>
        <color theme="4"/>
        <rFont val="KB금융 본문체 Light"/>
        <family val="3"/>
        <charset val="129"/>
      </rPr>
      <t xml:space="preserve">  ㅇ 화면 크기로 인하여 스뱅은 스뱅에서만 판매하는 상품만 노출(스뱅, 인뱅 상이)</t>
    </r>
    <r>
      <rPr>
        <sz val="9"/>
        <color theme="1"/>
        <rFont val="KB금융 본문체 Light"/>
        <family val="3"/>
        <charset val="129"/>
      </rPr>
      <t xml:space="preserve">
</t>
    </r>
    <r>
      <rPr>
        <sz val="9"/>
        <color theme="4"/>
        <rFont val="KB금융 본문체 Light"/>
        <family val="3"/>
        <charset val="129"/>
      </rPr>
      <t xml:space="preserve">  ㅇ 개인화(사용자) 기준 순서 변경 기능 제공
</t>
    </r>
    <r>
      <rPr>
        <sz val="9"/>
        <color theme="1"/>
        <rFont val="KB금융 본문체 Light"/>
        <family val="3"/>
        <charset val="129"/>
      </rPr>
      <t xml:space="preserve">
- 사용률, 페이지뷰 낮은 카테고리/배너 통합 또는 삭제
- 향후 계열사 및 외부 상품 확장 가능성을 고려하여</t>
    </r>
    <r>
      <rPr>
        <sz val="9"/>
        <color theme="4"/>
        <rFont val="KB금융 본문체 Light"/>
        <family val="3"/>
        <charset val="129"/>
      </rPr>
      <t xml:space="preserve"> 상품 카테고리 관리 기능(상품관리 아님) </t>
    </r>
    <r>
      <rPr>
        <sz val="9"/>
        <color theme="1"/>
        <rFont val="KB금융 본문체 Light"/>
        <family val="3"/>
        <charset val="129"/>
      </rPr>
      <t>설계</t>
    </r>
    <phoneticPr fontId="3" type="noConversion"/>
  </si>
  <si>
    <r>
      <t xml:space="preserve">- D/W에 적재된 데이터 기반 통계량을 반영한 검색 제공
- 고객의 흥미를 유발할 수 있는 다양한 테마 및 비교군 기획
</t>
    </r>
    <r>
      <rPr>
        <sz val="9"/>
        <color rgb="FFFF0000"/>
        <rFont val="KB금융 본문체 Light"/>
        <family val="3"/>
        <charset val="129"/>
      </rPr>
      <t xml:space="preserve">   (테마군에 대해서는 현업 정의 후 전달)  : 조건부수용</t>
    </r>
    <r>
      <rPr>
        <sz val="9"/>
        <color theme="1"/>
        <rFont val="KB금융 본문체 Light"/>
        <family val="3"/>
        <charset val="129"/>
      </rPr>
      <t xml:space="preserve">
- 데이터 분석 및 모델링하여 테마별 신규 데이터 D/W 적재</t>
    </r>
    <phoneticPr fontId="3" type="noConversion"/>
  </si>
  <si>
    <t>-2개 상품의 주요특징 비교 기능 제공
  ㅇ 상품 카테고리별 비교 항목 설정</t>
    <phoneticPr fontId="3" type="noConversion"/>
  </si>
  <si>
    <r>
      <t xml:space="preserve">- 상품과 연관된 뉴스, 콘텐츠, 연관지수, 전문가 칼럼 등 유기적으로 연결 가능한 UI 구현
</t>
    </r>
    <r>
      <rPr>
        <sz val="9"/>
        <color theme="4"/>
        <rFont val="KB금융 본문체 Light"/>
        <family val="3"/>
        <charset val="129"/>
      </rPr>
      <t xml:space="preserve">   ㅇ 현재 운영되고 있는 콘텐츠의 링크 연결</t>
    </r>
    <phoneticPr fontId="3" type="noConversion"/>
  </si>
  <si>
    <t>-  화면 內 정보입력 항목 별로 안내문구/예시 등 포함하여 이해도 향상
- 어드민 기능 활용도 제고를 위한 사용자 가이드 제작 및 게시
  ㅇ 각 화면별 가이드 파일 제공</t>
    <phoneticPr fontId="3" type="noConversion"/>
  </si>
  <si>
    <t>- 스타뱅킹 지원 OS 및 기종별 최적화된 UX/UI 적용
  ㅇ 기기 해상도에 따른 텍스트/이미지 표시오류 최소화
  ㅇ 폴더블폰, 태블릿PC용 특화 UX/UI 구현하지 않음
  ㅇ KB국민은행 모바일웹 개발하지 않음
  ㅇ 2021년 기준의 아이폰, 안드로이드폰 OS 버전별 16대 기기(폰 14대, 태블릿PC) 테스트 진행 참고
- 스타뱅킹 UX/UI 가이드 준수
- 트렌디한 디자인</t>
    <phoneticPr fontId="3" type="noConversion"/>
  </si>
  <si>
    <t>조건부수용</t>
    <phoneticPr fontId="3" type="noConversion"/>
  </si>
  <si>
    <r>
      <t xml:space="preserve">- 상품 추천의 이유를 명확히 설명
  ㅇ 가입비율, 혜택, 트렌드 등 관련 데이터 근거 제시
  ㅇ 고객 친화적인 용어 및 화법 사용
      &gt; 추천사유를 풀어서 친화적 용어 및 화법 사용, 데이터 활용 추천 근기 제시
        ㄴ 가입비율, 혜택, 트렌드 등 관련 데이터 근거를 제시하는 내용 표현
            (추천사유 예시 : Z세대에게 필수, 똑똑한 직장인이라면 세금혜택도 챙겨야죠, 요즘 트렌드는 전기차)
            (관련근거 예시 : Z세대 가입 비율, 절세 1년에 최대 얼마, 전기차 검색 그래프 등)
      &gt; Peer Group 비고, 직업/연령대별 추천/트렌드 반영 등의 추천 이유 설명
</t>
    </r>
    <r>
      <rPr>
        <sz val="9"/>
        <color rgb="FFFF0000"/>
        <rFont val="KB금융 본문체 Light"/>
        <family val="3"/>
        <charset val="129"/>
      </rPr>
      <t xml:space="preserve">  ㅇ 추천테마, 추천사유의 데이터 근기 및 상세내용은 데이터분석부 협업 필요(현업) : 조건부수용</t>
    </r>
    <r>
      <rPr>
        <sz val="9"/>
        <color theme="1"/>
        <rFont val="KB금융 본문체 Light"/>
        <family val="3"/>
        <charset val="129"/>
      </rPr>
      <t xml:space="preserve">
</t>
    </r>
    <r>
      <rPr>
        <sz val="9"/>
        <color rgb="FFFF0000"/>
        <rFont val="KB금융 본문체 Light"/>
        <family val="3"/>
        <charset val="129"/>
      </rPr>
      <t xml:space="preserve">      &gt; 데이터 제공 방식, 화면 구현 방안 등 유관부서 세부 협의 필요
      &gt; 데이터분석부에서 추천사유코드 전달하고, 어드민에서 추천사유명 설정
         ㄴ 통합어드민 &gt; 뉴스타뱅킹에 관련 기능이 존재함(참고)</t>
    </r>
    <phoneticPr fontId="3" type="noConversion"/>
  </si>
  <si>
    <t>-개별 상품정보 화면 內 연관상품 추천 제공
  ㅇ 해당상품 가입자들이 많이 가입한 또 다른 상품
  ㅇ 동일테마에 해당하는 유사상품
  ㅇ 연관상품 제공 카테고리:  수신, 여신, 펀드, 신탁, ISA, 청약, 외화예금, 퇴직연금, 보험, 골드투자통장
  ㅇ 비예금 상품(투자성 상품)의 경우 투자성향분석 유무에 따라 노출 필요
      &gt; 투자성향분석 유무에 대한 케이스 정리 후 반영
  ㅇ 추천상품 수 : 2~3개 정도 노출 (화면 구성 후 적정 숫자 결정)
  ㅇ 연관상품 추천은 당행 상품만 진행</t>
    <phoneticPr fontId="3" type="noConversion"/>
  </si>
  <si>
    <t>- 전체 상품 카테고리로 범위 확대
- 개인화 및 시인성 개선
  ㅇ ‘간편신규’, ‘가입진행중’, ‘장바구니’에 해당하는 고객이 진입한경우 명확하게노출(이어가기 대상상품 없을 경우에는 미노출)
  ㅇ 메뉴(서비스)명 직관적으로 변경
- 상품정보 공유하기 알림 포맷 개선
  ㅇ 공유상품의 특징 및 마케팅 포인트 공유정보에 포함
  ㅇ SNS 알림에 적합한 이미지 및 문구 사용 
※ 주) 상품가입 / 이어가기 등 공통성 메뉴
1. 장바구니,  2. 영업점 전송,  3. 가입진행중, 4. 간편신규, 5. 공유하기
- 가입 프로세스 중 이어가기 임시저장 (기술검토 후 반영여부 결정 예정)
   ㅇ [As-is] 임시저장 버튼 클릭 시 저장
- 장바구니의 상품에 대해 일정기간 저장 후 삭제 기능 개발</t>
    <phoneticPr fontId="3" type="noConversion"/>
  </si>
  <si>
    <t>-최근 조회(상품상세정보)한 상품 리스트 자동 저장
  ㅇ 타임라인 형태로 리스트 표출(상품명, 검색일시 표시)
  ㅇ 타임라인 표시 조회 기준 : 상품상세정보 페이지 조회 기준
  ㅇ 리스트 선택 시 해당상품 상세페이지로 이동
       ※ 투자상품은 당일 투자성향분석 선행 후 가입가능 상품만 상세페이지로 이동
  ㅇ 가입 종료 상품 표시(비활성화 처리 등)
  ㅇ 노출 상품개수는 최근 20개(성능 감안하여 조정 가능)
  ㅇ 타임라인 데이터는 앱내 저장</t>
    <phoneticPr fontId="3" type="noConversion"/>
  </si>
  <si>
    <r>
      <t>- 우대금리 혜택 시뮬레이션 제공 
  ㅇ 개인화 우대금리 요소 반영한 금리 안내
  ㅇ 우대금리 혜택 시뮬레이션 적용 카테고리 : 수신상품만 적용 (여신은 제외)
  ㅇ 모든 우대금리 조회 : 우대금리는 일반적으로 만기 시점에 달성되어 대부분 달성 안 된 경우가 많으니 해당 내용 고려하여 적용
  ㅇ 우대금리, 일부 상품군에서는 상품 안내(목록, 상세 등) 화면에서도 노출
- 상품계산기를 개별상품 콘텐츠 내 배치
  ㅇ 해당상품에 대한 기본정보 디폴트 세팅 후 계산 가능
- 계산기 추가 개발 및 적용
  ㅇ 투자상품 계산기(과거수익률 기반 모의투자값 계산)
      &gt; 대상상품 : 펀드 (연금저축펀드, MMF 제외)
      &gt; 인터넷뱅킹에 구현되어있는 펀드 예상 수익률 계산기 개선 적용
         (개인뱅킹&gt;금융상품&gt;펀드&gt;펀드 입금/환매/조회&gt;펀드수익률 시뮬레이션)
      &gt; 상품 상세 화면에 제공
      &gt; 계산 기준펀드를 해당 상품으로 자동 세팅
      &gt; 상품 내 계산기 표출여부는 어드민에서 관리
- 만기 예상금액 계산기를 상품 상세화면에 제공 (예금, 적금
  ㅇ 해당상품에 대한 기본정보 디폴트 세팅 후 계산
      &gt; 디폴트 데이터 : 월납입금액, 납입기간, 우대금리(현재 충족된 항목은 체크)
      &gt; 우대금리는 기간마다 기본이율이 다르므로, 선택된 기간에 맞춰 기본이율이 옵션으로 설정되었으면 함
  ㅇ 현재 미충족된 우대금리 항목은 수동으로 체크 가능하도록 구현 (예금, 적금, 대출)
  ㅇ 결과값 : 적용 금리, 만기예상액, 총납입액, 기본금리/우대금리 반영 이자금액 구분 표시 (예금, 적금)
- 상품계산기
  ㅇ 예금
      &gt; 해당상품에 대한 기본정보 디폴트 세팅 후 계산
        ㄴ 디폴트 데이터 : 가입금액, 가입기간, 우대금리(현재 충족된 항목은 체크)
  ㅇ 적금
      &gt; 해당상품에 대한 기본정보 디폴트 세팅 후 계산
        ㄴ 디폴트 데이터 : 월납입금액, 납입기간, 우대금리(현재 충족된 항목은 체크)</t>
    </r>
    <r>
      <rPr>
        <sz val="9"/>
        <color theme="4"/>
        <rFont val="KB금융 본문체 Light"/>
        <family val="3"/>
        <charset val="129"/>
      </rPr>
      <t xml:space="preserve">
</t>
    </r>
    <r>
      <rPr>
        <sz val="9"/>
        <color theme="1"/>
        <rFont val="KB금융 본문체 Light"/>
        <family val="3"/>
        <charset val="129"/>
      </rPr>
      <t>- 혜택 시뮬레이션
  ㅇ 펀드
      &gt; 펀드 모의투자 시뮬레이션 제공
      &gt; 과거수익률 기반(ex. 지난 3년동안 10만원씩 투자했다면 현재 수익률은?)
      &gt; 인터넷뱅킹의 펀드 수익률시뮬레이셔 기능 참조하여 개발 적용</t>
    </r>
    <r>
      <rPr>
        <sz val="9"/>
        <color rgb="FFFF0000"/>
        <rFont val="KB금융 본문체 Light"/>
        <family val="3"/>
        <charset val="129"/>
      </rPr>
      <t xml:space="preserve">
</t>
    </r>
    <r>
      <rPr>
        <sz val="9"/>
        <color theme="4"/>
        <rFont val="KB금융 본문체 Light"/>
        <family val="3"/>
        <charset val="129"/>
      </rPr>
      <t xml:space="preserve">
  ㅇ 적금
      &gt; 우대금리 혜택 시뮬레이션 제공 
      &gt; 현재 기준 개인화 우대금리 항목 충족여부 반영한 개인화 금리 시각화 안내
      &gt; 현재 미충족 항목의 경우 해당 서비스 신청 페이지 연계
</t>
    </r>
    <r>
      <rPr>
        <sz val="9"/>
        <color rgb="FFFF0000"/>
        <rFont val="KB금융 본문체 Light"/>
        <family val="3"/>
        <charset val="129"/>
      </rPr>
      <t xml:space="preserve">      &gt; 구현가능 범위 및 데이터 제공방식 등은 데이터분석부와 협의 필요 : 6/3일까지 확인 후 개발범위 확정 : 조건부수용</t>
    </r>
    <phoneticPr fontId="3" type="noConversion"/>
  </si>
  <si>
    <t>조건부수용</t>
    <phoneticPr fontId="3" type="noConversion"/>
  </si>
  <si>
    <t>- 전체적인 Tone&amp;Manner통일하여 화면 설계
  ㅇ 메인/서브메인 화면 및 상품 상세화면 재구성
      &gt; 메인화면에 통합검색창 제공
      &gt; 메인화면에 이어가기(간편신규/가입진행중/장바구니) 기능 제공
        ㄴ 이어가기는 해당사항이 있는 고객에게만 노출
      &gt; 핵심/추천상품은 3개 이하 노출
  ㅇ 주요정보/부수정보 구분하여 주요정보 중심의 화면 구성
  ㅇ 이미지/그래프/애니메이션 적극 활용(텍스트 최소화)
- 상품 게시 간소화
  ㅇ 핵심상품(3개 이하) 전면 배치
  ㅇ 펀드상품 노출방식 개선(동일상품 클래스별 모두 노출하지 않고 대표클래스 상품노출)
  ㅇ 업무범위 : 수신, 외화예금, 대출, 펀드, 신탁, ISA, 청약, 퇴직연금, 보험, 은행-증권, 카드, 골드투자통장, 골드바/실버바
- 상품 목록에서 '가입하기' 버튼 삭제, 랜딩페이지 일원화
   ㅇ [As-Is] (수신, 대출 등) 상품 목록 영역과 '가입하기' 버튼 랜딩페이지 상이
   ㅇ [To-Be] '가입하기' 버튼 삭제, 상품 목록 클릭 시 상품 상세 화면으로 랜딩
- 서브메인 구성 : 입출금 / 적금 / 예금
  ㅇ 개인화된 추천상품 노출 : 명확한 추천 사유 상단 표시
  ㅇ '금융쿠폰', ' 금리우대쿠폰', 관련 이벤트 존재 시 표시
      &gt; 금융쿠폰/금리우대쿠폰은 발급 대상자 or 쿠폰 보유자 체크해서 표시
  ㅇ 해시태그 노출
      &gt; as-is 의 해시태그 항목보다 다양한 최신 트랜드 및 검색어 반영
  ㅇ 대표 상품 2~3개 게시
      &gt; 한번에 3개 이하로 표출, '더보기' 버튼으로 추가 리스트 표출
      &gt; 상품 선택 시 상품 상세 페이지로 연결
- 서브메인 구성 : 대출
  ㅇ 금리인하권 관련 내용은 대상자에게만 표출
      &gt; [As-is] 금리 인하권 상품이 있을 경우 해당계좌노출, 
                 금리 인하 상품이 없을 경우 ‘금리인하 요구대상 계좌가 없습니다' 노출
      &gt; [To-be] 금리 인하권 상품이 있을 경우 해당계좌노출
                  금리 인하 상품이 없을경우 ‘금리인하 요구대상 계좌가 없습니다' 미노출
  ㅇ 배너 추가 : 내게 맞는 대출, 예금담보대출 배너 추가</t>
    <phoneticPr fontId="3" type="noConversion"/>
  </si>
  <si>
    <t>- IOS 대상폰 상품상제정보 조회 시 앱 외부로 이탈 Case 개선
  ㅇ 펀드분석요약/수익률/포트폴리오 분석 관련정보 펀드상품 상세화면에서 iOS 모바일웹으로 이탈하는 오류수정
       (펀드상품 상세화면에서 웹(제로인)으로 이탈)
  ㅇ [To-be] 펀드 상세항목 모두 이탈 없이 스타뱅킹 내에서 조회되도록 개발
  ㅇ 보험: iOS에서 PDF뷰어(청약서, 상품설명서. 보험사 URL보내는 경우) 안열리는 현상 오류 수정</t>
    <phoneticPr fontId="3" type="noConversion"/>
  </si>
  <si>
    <r>
      <t xml:space="preserve">- 금융상품몰 조회/상품가입 화면에서 개인화된 혜택 연계 제공(금융쿠폰 등)
   ※ 금융쿠폰 프로세스 구축 완료시
</t>
    </r>
    <r>
      <rPr>
        <sz val="9"/>
        <color rgb="FFFF0000"/>
        <rFont val="KB금융 본문체 Light"/>
        <family val="3"/>
        <charset val="129"/>
      </rPr>
      <t xml:space="preserve">  ㅇ 금융쿠폰 관련 기능은 별도 프로젝트 진행하며 개발 후 화면 적용 필요 (적용 관련 별도 협의 필요) : 조건부 수용
      &gt; 연관 이벤트 관련 어드민 기능 범위 : 수신, 여신, 펀드, 신탁, ISA, 청약, 외화예금, 퇴직연금, 보험, 골드투자통장 개별 상품 內</t>
    </r>
    <r>
      <rPr>
        <sz val="9"/>
        <color theme="1"/>
        <rFont val="KB금융 본문체 Light"/>
        <family val="3"/>
        <charset val="129"/>
      </rPr>
      <t xml:space="preserve">
</t>
    </r>
    <r>
      <rPr>
        <sz val="9"/>
        <color rgb="FFFF0000"/>
        <rFont val="KB금융 본문체 Light"/>
        <family val="3"/>
        <charset val="129"/>
      </rPr>
      <t xml:space="preserve">      &gt; 상품가입 완료 후 금융쿠폰 발급하도록 구현</t>
    </r>
    <r>
      <rPr>
        <sz val="9"/>
        <color theme="1"/>
        <rFont val="KB금융 본문체 Light"/>
        <family val="3"/>
        <charset val="129"/>
      </rPr>
      <t xml:space="preserve">
- 연관 이벤트 조회 및 링크 기능 제공
  ㅇ 보험사에서 진행중인 이벤트 있는 경우 스타뱅킹 금융상품 화면에 노출 필요
      &gt; 상품목록에서 해당 상품 영역에 '이벤트 진행중' 표시
      &gt; 해당상품 상세화면 내 이벤트 내용 안내화면 제공</t>
    </r>
    <phoneticPr fontId="3" type="noConversion"/>
  </si>
  <si>
    <t>6/10까지협의</t>
    <phoneticPr fontId="3" type="noConversion"/>
  </si>
  <si>
    <r>
      <t xml:space="preserve">- KB스타뱅킹 앱 내 라이브 방송 도입
  ㅇ 라이브 방송 콘텐츠가 앱 내에서  재생(실시간 콘텐츠 있을 경우 금융상품몰 메인에 영역 표출)
- 금융라이브 메뉴 신설
  ㅇ 라이브 예고 안내, 지난 방송 보기, 댓글/후기 조회
  ㅇ 라이브 방송 중 실시간 채팅, 연관상품 가입 연계
  ㅇ 라이브 방송 참여자수/좋아요수 실시간 표시
- 대고객 서비스 정책 2원화
  ㅇ 로그인 고객: 고객정보 연동(이벤트 참여 및 경품추첨대상)
  ㅇ 비로그인 고객: 라이브 동영상 조회 및 댓글참여 기능
- 라이브 알림 설정 기능(신규) </t>
    </r>
    <r>
      <rPr>
        <sz val="9"/>
        <color rgb="FFFF0000"/>
        <rFont val="KB금융 본문체 Light"/>
        <family val="3"/>
        <charset val="129"/>
      </rPr>
      <t xml:space="preserve"> (스뱅1부, 마케팅팀, 현업, IT, 개발팀 논의필요)  :  6/10까지 확인
</t>
    </r>
    <r>
      <rPr>
        <sz val="9"/>
        <color theme="1"/>
        <rFont val="KB금융 본문체 Light"/>
        <family val="3"/>
        <charset val="129"/>
      </rPr>
      <t xml:space="preserve">  ㅇ Push 시스템 연동하여 알림 제공
</t>
    </r>
    <r>
      <rPr>
        <sz val="9"/>
        <color rgb="FFFF0000"/>
        <rFont val="KB금융 본문체 Light"/>
        <family val="3"/>
        <charset val="129"/>
      </rPr>
      <t xml:space="preserve">  ㅇ 라이브 예고편에 대하여 알림신청을 한 사용자 대상으로  push 발송
  ㅇ 라이브 예고별 '알림신청' 메뉴를 통해 스타뱅킹 Push 알림 제공
  ㅇ Push알림 신청 기능 신설
      &gt; 클릭 시 스타뱅킹 Push알림 동의 &amp; '맞춤상품·혜택' 항목 동의가 필요하다는 안내 추가
         (알림설정 메뉴 링크)
  ㅇ Push 발송시간 : 라이브방송 시작 3분 전 발송(유관부서 협의 필요)
  ㅇ Push 메시지 포함 내용 : 라이브방송 제목, 시작시간
  ㅇ Push 메시지 클릭 시 : '금융라이브' 메뉴로 이동</t>
    </r>
    <r>
      <rPr>
        <sz val="9"/>
        <color theme="1"/>
        <rFont val="KB금융 본문체 Light"/>
        <family val="3"/>
        <charset val="129"/>
      </rPr>
      <t xml:space="preserve">
- 지난 라이브 다시보기 기능 제공 
  ㅇ 화면 표출내용 : 썸네일 이미지, 라이브방송 제목, 누적시청자 수, 방송시간 표시
  ㅇ 화면 클릭 시 : 동영상 재생(KB 내부 콘텐츠클라우드센터에 업로드된 파일 재생)
  ㅇ 영상 내 : 다시보기 영상 내의 이벤트 등이 종료되었음을 자막 또는 팝업 등으로 표시 
  ㅇ 지난 방송(다시보기)는 원본 동양상 그대로 제공</t>
    </r>
    <phoneticPr fontId="3" type="noConversion"/>
  </si>
  <si>
    <t>- 라이브 방송 관련 관리 화면 신설 
  ㅇ 라이브 방송 예고, 지난방송 보기 업로드 등 관리
- 라이브 방송 관련 관리 화면 신설 
    ㅇ 라이브 방송 예고, 지난방송 보기 업로드 등 관리
- 라이브방송 편성 관리
   ㅇ 라이브방송 리스트 등록/변경/조회(라이브방송 구분, 제목, 썸네일 이미지, 방송시간, 상세설명 등)
   ㅇ 리스트에서 라이브 방송 상태별(예고/지난방송 등)별, 기간별 조회(정렬)
- 라이브방송 예고 관리
   ㅇ 라이브방송 편성표 리스트에서 예고 표출여부 선택
   ㅇ 방송 시작시간 이후에는 예고 미표출로 자동 전환
-  라이브방송 다시보기 관리
   ㅇ 라이브방송 종료 시 동영상 파일 업로드(KB 콘텐츠클라우드센터에 업로드 후 어드민에 경로 입력)
   ㅇ 라이브방송 편성표 리스트에서 다시보기 표출여부 선택</t>
    <phoneticPr fontId="3" type="noConversion"/>
  </si>
  <si>
    <t>반영여부(5.26)</t>
    <phoneticPr fontId="3" type="noConversion"/>
  </si>
  <si>
    <r>
      <t xml:space="preserve">- KB스타뱅킹 앱 내 동영상 활용 UX/UI 개선
  ㅇ 동영상 크기/위치 조정
  ㅇ 동영상 세로view 기능 제공
      &gt; 레이어팝업 및 Full 화면 모두 세로 뷰 제공
  ㅇ 동영상 재생 시 고객이 조회/거래 중인 화면 동시 유지(현재화면에서 이탈하지 않고 동영상 조회 가능)
  ㅇ 동영상 시청 중 Time-out 되는 현상 개선
  ㅇ 동영상 자막 On/Off 기능 제공(청각장애인 고려) 
      &gt; 자막은 화면 내부에 표출하는 방식으로 구현
      &gt; 스크린 리더기를 통해 자막내용 읽을 수 있도록 지원
        (자막 Off 상태에서도 스크린리더기가 읽을 수 있도록 구현)
</t>
    </r>
    <r>
      <rPr>
        <sz val="9"/>
        <color theme="4"/>
        <rFont val="KB금융 본문체 Light"/>
        <family val="3"/>
        <charset val="129"/>
      </rPr>
      <t xml:space="preserve">  ㅇ 동영상플레이어에서 레이어 팝업(PIP 기능) 형태로 띄우는 기능 제공 :</t>
    </r>
    <r>
      <rPr>
        <sz val="9"/>
        <color rgb="FFFF0000"/>
        <rFont val="KB금융 본문체 Light"/>
        <family val="3"/>
        <charset val="129"/>
      </rPr>
      <t xml:space="preserve"> 조건부 수용(메가존 플레이어 검토 후 범위 조정)</t>
    </r>
    <r>
      <rPr>
        <sz val="9"/>
        <color theme="4"/>
        <rFont val="KB금융 본문체 Light"/>
        <family val="3"/>
        <charset val="129"/>
      </rPr>
      <t xml:space="preserve">
      &gt; 거래와 동시에 동영상 재생 가능
      &gt; 레이어팝업 동영상 위치를 고객이 움직여서 변경(상단/하단)
  ㅇ 동영상 재생 영역과 거래화면 영역 분할
      &gt; 특정 화면의 경우 동영상과 거래화면 프레임 분리 지원
         (화면 內 동영상 아이콘 클릭 시 프레임 분할) 
      &gt; 동영상은 상단에 재생하고, 하단 영역에서 거래 진행 가능
  ㅇ 동영상 시청 중 타임아웃 현상 개선
      &gt; 동영상 재생 중에는 타임아웃 되지 않도록 구현</t>
    </r>
    <phoneticPr fontId="3" type="noConversion"/>
  </si>
  <si>
    <t>- 금융상품 가입 프로세스 슬림화
  ㅇ 프로세스 단계/화면별 입력항목 축소, 입력항목 자동포커스(고객 클릭 최소화)
  ㅇ 상품가입 업무 범위 : 수신, 외화예금, 대출, 펀드, 신탁, ISA, 청약, 퇴직연금, 보험, 골드투자통장(은행-증권, 카드 제외)
  ㅇ 운용지시 업무 범위 : 퇴직연금(IRP), 연금저축펀드, 신탁형 ISA
- 상품관련 조회 등 성능 개선을 위한 DB 튜닝 및 개선
- 금융상품 가입화면에 표준화된 UX/UI 적용
   ㅇ 금융상품 별 상이한 가입 프로세스를 표준화하여 적용
   ㅇ 필수 입력항목 등 연속 배치 등 UI 개선
   ㅇ 입력 후 다음 입력항목에 대한 자동 포커싱 기능
   ㅇ 연금저축펀드, 퇴직연금, 신탁형 ISA 등 유사 프로세스 표준화
- 약관/서식 확인 화면 개선
  ㅇ 약관동의 UX/UI 표준화 적용(순서, 동의방식 등 표준화)
  ㅇ 화면 스크롤 필요한 경우 ‘스크롤 다운’ 기능 추가
  ㅇ 실행버튼 하단에 고정(전부 읽지 않아도 확인 가능하도록 구성)
  ㅇ 계약서류 제공 방식 개선 및 통일
       [As-is] 공란으로 Default
       [To-be] 이메일, 알림톡 등으로 Default 제공
  ㅇ 고객 동의 및 이해 관련 체크박스 선택 최소화(관련 규제 위배사항 없도록)
- ‘뒤로가기’ Navigation 오류 수정
- 투자성향 분석 화면 UX/UI 개선
  ㅇ 대상화면 : 투자성향 분석, 투자성향 분석결과 확인, 구속성 확인
  ㅇ 기존거래(펀드검색, 펀드가입 등)를 방해하지 않고 연결성 있게, 
화면 내 과다한 정보/클릭요소 간소화하여 진입장벽 완화
- 프로젝트 기간 내 법률/제도 등 변경사항에 대한 대응개발
※ ‘금융소비자보호법’ 비대면 가이드라인 발표(5월), 퇴직연금 디폴트옵션 시행(7월)
- 대출서류 제출방식 추가
  ㅇ [As-is] 사진촬영
  ㅇ [To-be] 사진촬영 + 서류첨부(사진첩 내 사진만 선택)
- 투자성향분석 As-Is 화면을 참고하여 UI 적용
  ㅇ 인뱅 UI/UX 스타일과 통일성도 고려
- 투자성향 분석 개선
  ㅇ(투자상품 공통) 투자성향 분석 화면 UX/UI 개선
  ㅇ '①구속성 관련 안내+②금융취약소비자 확인+③투자성향 분석' 한 화면 또는 연속적으로 표출되도록 변경
  ㅇ 구속성 및 금융취약소비자 확인은 全 상품 카테고리 합산 1일 1회 표출(기적용)
  ㅇ 기존거래(펀드검색, 펀드가입 등)를 방해하지 않고 연결성 있게, 화면 내 과다한 정보/클릭요소 간소화 하여 진입정벽 완화(하단팝업 활용, 한문항씩 진행 등 UX/UI검토)
- 상품 신규 범위
  ㅇ 메뉴&gt;뱅킹&gt;상품가입 
  ㅇ 신규에 준하는 일부 거래 포함 (대출: 기한연장, IRP/신탁형ISA/연금펀드: 운용지시)</t>
    <phoneticPr fontId="3" type="noConversion"/>
  </si>
  <si>
    <t>- 원화예금 가입 프로세스 준용하여 가입 프로세스 변경
  ㅇ 출금계좌와 동일한 비밀번호 설정 기능은 현재 AS-IS 적용 내용 그대로 반영</t>
    <phoneticPr fontId="3" type="noConversion"/>
  </si>
  <si>
    <t>6/3까지협의</t>
    <phoneticPr fontId="3" type="noConversion"/>
  </si>
  <si>
    <r>
      <t xml:space="preserve">- 집합투자증권 핵심(요약) 상품설명서 기능 개선 (펀드/퇴직연금)
</t>
    </r>
    <r>
      <rPr>
        <sz val="9"/>
        <color rgb="FFFF0000"/>
        <rFont val="KB금융 본문체 Light"/>
        <family val="3"/>
        <charset val="129"/>
      </rPr>
      <t xml:space="preserve">  ㅇ 상품설명서 양식 OZ 형태로 틀만 제공하고 ‘펀드명, 위험등급’은 가변값으로 매핑하여 제공 : (스뱅3부와 별도 협의 : 6/3까지)</t>
    </r>
    <r>
      <rPr>
        <sz val="9"/>
        <color theme="1"/>
        <rFont val="KB금융 본문체 Light"/>
        <family val="3"/>
        <charset val="129"/>
      </rPr>
      <t xml:space="preserve">
  ㅇ 다운로드 기능 추가
- 연금저축펀드의 모자계좌 가입방법 개선
  ㅇ 모계좌, 자계좌 대체 표현 검토
  ㅇ 운용비율 % 조정방법 UI 개선
  ㅇ 모계좌 개설되지 않은 고객의 경우 모계좌/자계좌 선택 분기 없이 모계좌 신규가입으로 진행
</t>
    </r>
    <r>
      <rPr>
        <sz val="9"/>
        <color rgb="FFFF0000"/>
        <rFont val="KB금융 본문체 Light"/>
        <family val="3"/>
        <charset val="129"/>
      </rPr>
      <t xml:space="preserve">- 골든라이프/라떼계좌 운용계획 확인 (WM상품부 확인 후 결저 : 6/3까지)
</t>
    </r>
    <r>
      <rPr>
        <sz val="9"/>
        <color theme="1"/>
        <rFont val="KB금융 본문체 Light"/>
        <family val="3"/>
        <charset val="129"/>
      </rPr>
      <t>- 상품정보 tab에서 제로인 데이터를 활용하여 제공
   ㅇ 기간수익률 및 추이 그래프
      &gt; '기간별 추이 기준 : 1개월, 3개월, 6개월, 1년, 설정이후
   ㅇ 기준가, 전일대비 기준가(등락률 포함), 기준가 추이 그래프
   ㅇ 편입종목 Top 10</t>
    </r>
    <phoneticPr fontId="3" type="noConversion"/>
  </si>
  <si>
    <t>- 영상통화 예약 후 ‘진행단계’ 확인 가능 화면으로 이동
  ㅇ 상품가입 중 AS-IS 영상통화 후 화면이 멈춰있는데 이후 진행단계 화면으로 이동하여 가입이 계속되도록 수정</t>
    <phoneticPr fontId="3" type="noConversion"/>
  </si>
  <si>
    <t>- ‘청약거주지’ 항목 CRM주소 연동하여 디폴트로 제공
  ㅇ 직접입력 통한 수정 가능
  ㅇ '청약거주지' 직접입력 통한 수정 시 고객정보 변경 처리
- 신규가입 시 자동이체일이 약정납입일 이후인 경우 이체시작월을 당월로 세팅하여 신규 진행
  ㅇ 신규가입 시 자동이체일 선택 기능 추가
  ㅇ 선택한 이체일이 약정납입일 이후인 경우 이체시작월을 당월로 세팅
- 신규가입 완료 후 소득공제 신청거래 연동(소득공제 무주택확인서 제출 누락 방지)</t>
    <phoneticPr fontId="3" type="noConversion"/>
  </si>
  <si>
    <t>- '거래진행 중 오류발생 시 보험사에서 전송받은 에러메시지 고객안내는 AS-IS 그대로 적용
  ㅇ 현재 공통오류 메시지가 상세 오류내용 식별 가능하도록 에러코드 세분화하여 맵핑됨
- 전 상품 보험가입 프로세스 표준화
  ㅇ 해외납세의무 및 본인확인 절차 추가
- 입력항목 오류 시 오류메시지 표출 후 메인화면으로 이탈현상 개선사항 AS-IS 그대로 적용
  ㅇ 화면이탈이 아닌, 해당 입력항목 수정입력 안내로 진행
  ㅇ 보험 가입 프로세스에서 에러사항 확인 후 이전화면 아닌 홈으로 이동</t>
    <phoneticPr fontId="3" type="noConversion"/>
  </si>
  <si>
    <t>6/3까지 협의</t>
    <phoneticPr fontId="3" type="noConversion"/>
  </si>
  <si>
    <r>
      <t xml:space="preserve">- ‘모바일 상품 판매관련 관리어드민’ 구축(배치 포함)
-  KB스타뱅킹 금융상품몰 내 게시되는 상품 카테고리 및 라이브 방송 콘텐츠에 대한 관리 기능 개발
  ㅇ 예·적금(외화포함), 대출, 펀드, 신탁(ISA포함), 청약, 퇴직연금, 방카슈랑스, </t>
    </r>
    <r>
      <rPr>
        <strike/>
        <sz val="9"/>
        <color theme="1"/>
        <rFont val="KB금융 본문체 Light"/>
        <family val="3"/>
        <charset val="129"/>
      </rPr>
      <t>골드바/실버바 등</t>
    </r>
    <r>
      <rPr>
        <sz val="9"/>
        <color theme="1"/>
        <rFont val="KB금융 본문체 Light"/>
        <family val="3"/>
        <charset val="129"/>
      </rPr>
      <t>(추후 확장 가능)
  ㅇ 신탁형ISA / 일임형ISA 어드민 신규 구축
  ㅇ 퇴직연금 : 상품 검색시 IRP '껍데기' 표시를 위한 어드민 기능 개발(상품검색용)
  ㅇ 보험: 어드민 통한 추천상품 관리 기능 개발</t>
    </r>
    <r>
      <rPr>
        <sz val="9"/>
        <color theme="4"/>
        <rFont val="KB금융 본문체 Light"/>
        <family val="3"/>
        <charset val="129"/>
      </rPr>
      <t xml:space="preserve">
</t>
    </r>
    <r>
      <rPr>
        <sz val="9"/>
        <color theme="1"/>
        <rFont val="KB금융 본문체 Light"/>
        <family val="3"/>
        <charset val="129"/>
      </rPr>
      <t>'- 모바일 최적화된 관리화면 구성
  ㅇ KB스타뱅킹 금융상품 화면 기준 입력항목/화면 구성
  ㅇ 입력항목별 글자수(byte) 제한으로 텍스트 최소화 강제
      ※ 펀드 위험등급 등 법적리스크와 관계된 주요정보는 상품팩토리에서 자동으로 불러와 리스크 최소화
  ㅇ 모바일 상품 어드민 메뉴 신설(개발/스테이징/운영)
      &gt; KB스타뱅킹에 표출되는 상품 정보를 별도로 관리하는 어드민 메뉴 별도 신설 (상품정보, 이미지, 동영상, 태그관리 등) 
      &gt; 금리/펀드 위험등급 등은 상품팩토리와 연동
      &gt; 결재 요청 시 통합어드민 항목 변경 확인하라는 안내 팝업 표출
  ㅇ 펀드 관리자
      &gt; 기존 정보(팩토리/現어드민 내 항목&amp;정보) 가져오기 
          * 동기화 영역(모든 항목 or 항목별) 선택 가능
      &gt; 제로인 Data 최대한 활용(수기 입력 최소화)
      &gt; 상품군별/특징별 대세 선택값 디폴트 처리
      &gt; 클래스(동종상품 군) 구분
      &gt; 동일상품별(브랜드상품코드 기준) 공통 정보 사용 기본(1회만 등록)
      &gt; 클래스 추가시 클래스별 차별 항목만 별도 입력 (같은 화면내 관리)
      &gt; 대표 클래스 설정 기능 
      &gt; 기준가 등록
         ㄴ 기준가 등록여부 선택없이 자동 반영 (팩토리 별도 선택여부 단계 없이 무조건 적용중)</t>
    </r>
    <r>
      <rPr>
        <sz val="9"/>
        <color theme="4"/>
        <rFont val="KB금융 본문체 Light"/>
        <family val="3"/>
        <charset val="129"/>
      </rPr>
      <t xml:space="preserve">
</t>
    </r>
    <r>
      <rPr>
        <sz val="9"/>
        <color rgb="FFFF0000"/>
        <rFont val="KB금융 본문체 Light"/>
        <family val="3"/>
        <charset val="129"/>
      </rPr>
      <t xml:space="preserve">      &gt; 대량 파일 업로드 기능 개발 
      &gt; 다건상품정보 수정 엑셀업로드 기능 (현업 정책 검토 확인필요 : 6/3까지)</t>
    </r>
    <phoneticPr fontId="3" type="noConversion"/>
  </si>
  <si>
    <r>
      <t xml:space="preserve">- Html 에디터를 통해 일관성 있고 편리한 편집 기능 지원  </t>
    </r>
    <r>
      <rPr>
        <sz val="9"/>
        <color rgb="FFFF0000"/>
        <rFont val="KB금융 본문체 Light"/>
        <family val="3"/>
        <charset val="129"/>
      </rPr>
      <t>:  조건부 수용 (HTML 에디터 외에 편리한 편집기능 방법 검토)</t>
    </r>
    <r>
      <rPr>
        <sz val="9"/>
        <color theme="1"/>
        <rFont val="KB금융 본문체 Light"/>
        <family val="3"/>
        <charset val="129"/>
      </rPr>
      <t xml:space="preserve">
   (텍스트 줄맞춤, 들여쓰기/내어쓰기, 글머리/다단계 등)
- 모바일 구현화면 미리보기
</t>
    </r>
    <r>
      <rPr>
        <sz val="9"/>
        <color rgb="FFFF0000"/>
        <rFont val="KB금융 본문체 Light"/>
        <family val="3"/>
        <charset val="129"/>
      </rPr>
      <t xml:space="preserve">  ㅇ 미리보기 기능은 개발환경의 제약안에서 구현
</t>
    </r>
    <r>
      <rPr>
        <sz val="9"/>
        <color theme="1"/>
        <rFont val="KB금융 본문체 Light"/>
        <family val="3"/>
        <charset val="129"/>
      </rPr>
      <t xml:space="preserve">  ㅇ 미리보기 화면은 상품등록 화면으로 한정 함.</t>
    </r>
    <r>
      <rPr>
        <sz val="9"/>
        <color theme="4"/>
        <rFont val="KB금융 본문체 Light"/>
        <family val="3"/>
        <charset val="129"/>
      </rPr>
      <t xml:space="preserve">
  ㅇ 화면 미리보기의 경우 작업자 및 결재자 화면에서도 모두 구현되야 하며, 결재재 화면은 '결재함'을 의미한다.
</t>
    </r>
    <r>
      <rPr>
        <sz val="9"/>
        <color rgb="FFFF0000"/>
        <rFont val="KB금융 본문체 Light"/>
        <family val="3"/>
        <charset val="129"/>
      </rPr>
      <t xml:space="preserve">      ㄴ 결재함 미리 보기 기능은 적용 여부는 개발 및 IT 기술검토 후 진행여부 확정 예정 (IT : 6/3까지)</t>
    </r>
    <r>
      <rPr>
        <sz val="9"/>
        <color theme="1"/>
        <rFont val="KB금융 본문체 Light"/>
        <family val="3"/>
        <charset val="129"/>
      </rPr>
      <t xml:space="preserve">
- 작성내용 임시저장/</t>
    </r>
    <r>
      <rPr>
        <strike/>
        <sz val="9"/>
        <color theme="1"/>
        <rFont val="KB금융 본문체 Light"/>
        <family val="3"/>
        <charset val="129"/>
      </rPr>
      <t xml:space="preserve">자동저장 기능 제공
</t>
    </r>
    <r>
      <rPr>
        <sz val="9"/>
        <color theme="1"/>
        <rFont val="KB금융 본문체 Light"/>
        <family val="3"/>
        <charset val="129"/>
      </rPr>
      <t xml:space="preserve">  ㅇ 임시저장 기능은 [임시저장] 버튼을 누르면 입력 데이터를 임시저장하도록 구현
  ㅇ 임시저장한 경우 상품목록에 '임시저장' 상태로 표시, 해당 상품목록 클릭 시 저장 데이터를 불러오도록 구현
</t>
    </r>
    <r>
      <rPr>
        <strike/>
        <sz val="9"/>
        <color theme="1"/>
        <rFont val="KB금융 본문체 Light"/>
        <family val="3"/>
        <charset val="129"/>
      </rPr>
      <t xml:space="preserve">- 작성내용 즉시적용 또는 예약적용(날짜 및 시간) 선택 </t>
    </r>
    <phoneticPr fontId="3" type="noConversion"/>
  </si>
  <si>
    <t>- 태그(키워드) 관리 화면 신설
  ㅇ 태그 등록/변경/삭제
      &gt; 현재는 각각 상품별로 태그를 수정하도록 되어 있는데 전체를 한번에 수정할 수 있는 기능 필요
   ㅇ 태그 관리화면 설계시 상품 또는 카테고리 연결관련 고려하여 개발
  ㅇ 태그별 이미지 등록/변경/삭제
  ㅇ 등록된 태그와 금융상품 연결
      &gt; 각 상품상세 어드민에 등록된 태그 데이터 기준으로 태그별 상품목록 리스트 조회
      &gt; 태그별 상품 추가/삭제 가능(상품명/상품코드 조회를 통해 추가/삭제상품 선택)
      &gt; 태그 관리화면에서 저장한 데이터를 각 상품 상세 태그 항목에 반영
         (태그 관리메뉴 등록 정보와 상품상세 內 태그항목 동기화)
  ㅇ IRP, ISA, 연금저축펀드 등 상품 안에 상품이 들어있는 경우의 태그관리 방식
      &gt; 전체 통합검색(메인화면) 시에는 제도상품(껍데기) 상품 태그로 연결
      &gt; 상품 카테고리 내 검색 시에는 운용상품 內 태그로 연결
  ㅇ 연관태그 등록</t>
    <phoneticPr fontId="3" type="noConversion"/>
  </si>
  <si>
    <t>- KB스타뱅킹 상품별 조회/판매현황 조회
  ㅇ 통합 어드민 내 통계화면을 두지 않는 정책에 따라 Mystar단말 또는 데이터시각화 화면에 구현
  ㅇ Mystar단말 또는 데이터시각화에 전달할 수 있는 데이터 적재 구현
  ㅇ 상품클릭수/가입자수/장바구니(관심상품), 상담 이어가기, 가입진행중 등록현황 조회
  ㅇ 상품카테고리별 위 기준으로 정렬 기능 제공
  ㅇ 상품별 가입금액/가입좌수 조회</t>
    <phoneticPr fontId="3" type="noConversion"/>
  </si>
  <si>
    <r>
      <t xml:space="preserve">- 권한 및 결재 라인은 기존 어드민과 동일하게 부여(상품정보 관리, 게시 권한 부여된 담당자만 이용 가능)
- 결재함 일괄결재 요청/일괄결재 기능 신설
  ㅇ 다건의 작업내용 결재함에서 한 번에 결재요청 가능
</t>
    </r>
    <r>
      <rPr>
        <sz val="9"/>
        <color rgb="FFFF0000"/>
        <rFont val="KB금융 본문체 Light"/>
        <family val="3"/>
        <charset val="129"/>
      </rPr>
      <t xml:space="preserve">  ㅇ 다건의 작업목록 일괄결재 기능 제공 (현업 재검토 후 구현여부 및 범위 확정 예정 : 6/3까지)
      &gt; 결재자는 결재함 내 결재 리스트에서 선택하여 결재
      &gt; 리스트 선택 시 어드민 수정(신규입력) 항목 표시 및 화면 미리보기 가능
</t>
    </r>
    <r>
      <rPr>
        <sz val="9"/>
        <color theme="1"/>
        <rFont val="KB금융 본문체 Light"/>
        <family val="3"/>
        <charset val="129"/>
      </rPr>
      <t>- 결재자가 승인 대기중인 상태에서도 작업자가 작업 가능하도록 구현</t>
    </r>
    <phoneticPr fontId="3" type="noConversion"/>
  </si>
  <si>
    <r>
      <t xml:space="preserve">- 금융상품몰 內 검색 범위 확장
  ㅇ [As-Is] 개별상품 카테고리, ‘상품명’ 기준 검색만 가능
  ㅇ [To-Be] 전체상품 통합검색, 키워드(태그)검색 제공
</t>
    </r>
    <r>
      <rPr>
        <sz val="9"/>
        <rFont val="KB금융 본문체 Light"/>
        <family val="3"/>
        <charset val="129"/>
      </rPr>
      <t xml:space="preserve">  ㅇ 통합검색(솔루션)이 아닌 DB검색으로 제공하고 검색결과는 별도 화면으로 제공
- 검색기능 정밀화
  ㅇ 대소문자 호환
  ㅇ 최근검색어 제공
  ㅇ 검색창 하단에 추천 키워드(테마) 제시
  ㅇ 상품검색 결과시 상품군별 최대 3개 상품까지만 표출, 추가 리스트는 '더보기' 버튼으로 처리
  ㅇ 인기검색어/유의어 기능 추가 및 해당 기능은 어드민에서 관리하도록 구현</t>
    </r>
    <r>
      <rPr>
        <sz val="9"/>
        <color theme="4"/>
        <rFont val="KB금융 본문체 Light"/>
        <family val="3"/>
        <charset val="129"/>
      </rPr>
      <t xml:space="preserve">
</t>
    </r>
    <r>
      <rPr>
        <sz val="9"/>
        <color rgb="FFFF0000"/>
        <rFont val="KB금융 본문체 Light"/>
        <family val="3"/>
        <charset val="129"/>
      </rPr>
      <t xml:space="preserve">  ㅇ </t>
    </r>
    <r>
      <rPr>
        <strike/>
        <sz val="9"/>
        <color rgb="FFFF0000"/>
        <rFont val="KB금융 본문체 Light"/>
        <family val="3"/>
        <charset val="129"/>
      </rPr>
      <t>자동완성 : DB 기반 개발 검토</t>
    </r>
    <r>
      <rPr>
        <sz val="9"/>
        <color rgb="FFFF0000"/>
        <rFont val="KB금융 본문체 Light"/>
        <family val="3"/>
        <charset val="129"/>
      </rPr>
      <t xml:space="preserve">
</t>
    </r>
    <r>
      <rPr>
        <sz val="9"/>
        <color theme="1"/>
        <rFont val="KB금융 본문체 Light"/>
        <family val="3"/>
        <charset val="129"/>
      </rPr>
      <t xml:space="preserve">
- 검색기능 제공 화면 확대
  ㅇ 금융상품 Main : 전체 상품 카테고리 상품검색
</t>
    </r>
    <r>
      <rPr>
        <sz val="9"/>
        <rFont val="KB금융 본문체 Light"/>
        <family val="3"/>
        <charset val="129"/>
      </rPr>
      <t xml:space="preserve">      &gt; 상품군별 구분 표시(예적금/대출/펀드 등) 
  ㅇ 금융상품 서브메인 : 해당 카테고리만 한정하여 상품검색
      &gt; 적용 상품 카테고리 : 수신, 여신, 펀드, 신탁, ISA, 청약, 외화예금, 퇴직연금, 보험, 골드투자통장
      &gt; 비예금 상품(투자성 상품)의 경우 당일 투자성향 분석 미완료 고객은 검색결과 리스트를 표시하지 않으며, 투자성향분석이후 확인 가능하다는 노티 제공(투자성향분석 화면으로 이동하도록 처리)
      &gt; 상세(필터)검색 신규제공 : 예/적금, 신탁형 ISA
      &gt; 상세(필터)검색 개선 : 펀드, 신탁, ISA
  ㅇ 예/적금 : 필터 방식 예적금 찾기 기능 신설
      &gt; 상품유형(적금/예금), 이자지급방식, 가입기간, 신규금액, 우대금리항목 추가 등 필터 선택방식 적용
- 예적금 공동 검색으로 할지, 예금/적금 분리할지 의사결정 필요
  ㅇ 펀드: 펀드 카테고리 내 상품명/키워드(태그) 검색
      &gt; 펀드는 종목명 (우선순위 : 펀드명&gt;키워드&gt;종목 편입비중) 검색 가능하도록 구성
      &gt; 펀드유형(국내주식형, 해외주식형 등), 테마/지역, 위험등급 등 필터 선택 가능하게 구성
  ㅇ 신탁: 신탁 카테고리 내 상품명/키워드(태그) 검색
      &gt; 특정금전신탁(ETF/ELS) : 금융상품몰 검색 결과에 특정금전신탁 상품 노출
          ㄴ 법률검토 결과: 메인화면에는 노출(X)하지 않으며, 신탁 서브메인에만 노출하도록 구성
  ㅇ 유언대용신탁 : 비대면 판매상품 제외 
  ㅇ ISA : 금융상품몰의 ISA 검색은 신탁형ISA, 일임형ISA 레벨에서 결과를 표시하도록 구성(신탁형ISA, 일임형ISA 상품 1개씩 구성 형태)</t>
    </r>
    <r>
      <rPr>
        <sz val="9"/>
        <color theme="4"/>
        <rFont val="KB금융 본문체 Light"/>
        <family val="3"/>
        <charset val="129"/>
      </rPr>
      <t xml:space="preserve">
</t>
    </r>
    <r>
      <rPr>
        <sz val="9"/>
        <color rgb="FFFF0000"/>
        <rFont val="KB금융 본문체 Light"/>
        <family val="3"/>
        <charset val="129"/>
      </rPr>
      <t xml:space="preserve">      &gt; 신탁형ISA 내 상품 검색 기능 개발 (계정계 상품 연동 고려해야 하며 가능 여부 개발검토 후 별도 협의 예정) : ~5/27(임미정과장)</t>
    </r>
    <r>
      <rPr>
        <sz val="9"/>
        <color theme="4"/>
        <rFont val="KB금융 본문체 Light"/>
        <family val="3"/>
        <charset val="129"/>
      </rPr>
      <t xml:space="preserve">
</t>
    </r>
    <r>
      <rPr>
        <sz val="9"/>
        <color rgb="FFFF0000"/>
        <rFont val="KB금융 본문체 Light"/>
        <family val="3"/>
        <charset val="129"/>
      </rPr>
      <t xml:space="preserve">         ㄴ 상품가입/운용지시 시 세부검색 기능 제공</t>
    </r>
    <r>
      <rPr>
        <sz val="9"/>
        <color theme="4"/>
        <rFont val="KB금융 본문체 Light"/>
        <family val="3"/>
        <charset val="129"/>
      </rPr>
      <t xml:space="preserve">
</t>
    </r>
    <r>
      <rPr>
        <sz val="9"/>
        <color theme="1"/>
        <rFont val="KB금융 본문체 Light"/>
        <family val="3"/>
        <charset val="129"/>
      </rPr>
      <t xml:space="preserve">      &gt; 일임형ISA 내 상품 검색은 이미 개발되어 있으며 그대로 적용
  ㅇ 퇴직연금: 퇴직연금 카테고리 내 상품명/키워드(태그) 검색 (상품운용지시 또는 상품변경 화면)
      &gt; 금융상품몰 메인 검색에서는 IRP 껍데기(?) 검색
      &gt; 상품검색시 IRP '껍데기' 표시를 위한 어드민 기능 개발(상품검색용)</t>
    </r>
    <phoneticPr fontId="3" type="noConversion"/>
  </si>
  <si>
    <t>구분</t>
    <phoneticPr fontId="3" type="noConversion"/>
  </si>
  <si>
    <t>-</t>
    <phoneticPr fontId="3" type="noConversion"/>
  </si>
  <si>
    <t>대면</t>
    <phoneticPr fontId="3" type="noConversion"/>
  </si>
  <si>
    <t>감사정보시스템 클라우드 전환 재구축</t>
    <phoneticPr fontId="3" type="noConversion"/>
  </si>
  <si>
    <t>남상현</t>
    <phoneticPr fontId="3" type="noConversion"/>
  </si>
  <si>
    <t>영업감사</t>
    <phoneticPr fontId="3" type="noConversion"/>
  </si>
  <si>
    <t>본부감사</t>
    <phoneticPr fontId="3" type="noConversion"/>
  </si>
  <si>
    <t>일상감사</t>
    <phoneticPr fontId="3" type="noConversion"/>
  </si>
  <si>
    <t>일상감사 진행/점검 현황을 다양한 조건으로 검색할 수 있도록 화면 개선</t>
    <phoneticPr fontId="3" type="noConversion"/>
  </si>
  <si>
    <t>일상감사 관련 커뮤니케이션 기능 강화</t>
    <phoneticPr fontId="3" type="noConversion"/>
  </si>
  <si>
    <t>상시감사</t>
    <phoneticPr fontId="3" type="noConversion"/>
  </si>
  <si>
    <t>본부 및 글로벌 상시점검항목 Rule분석</t>
    <phoneticPr fontId="3" type="noConversion"/>
  </si>
  <si>
    <t>점검 결과 지적사항 등록 및 관리</t>
    <phoneticPr fontId="3" type="noConversion"/>
  </si>
  <si>
    <t>점검 보고서 제공 (레포팅 툴 활용)</t>
    <phoneticPr fontId="3" type="noConversion"/>
  </si>
  <si>
    <t>심의/조사 업무 효율성 강화를 위한 기능 개선</t>
    <phoneticPr fontId="3" type="noConversion"/>
  </si>
  <si>
    <t>MDD-00020</t>
  </si>
  <si>
    <t>MDD-00021</t>
  </si>
  <si>
    <t>신규</t>
    <phoneticPr fontId="29" type="noConversion"/>
  </si>
  <si>
    <t>국가별 RM정보 및 공통자료 관리</t>
    <phoneticPr fontId="3" type="noConversion"/>
  </si>
  <si>
    <t>본부감사 자료실</t>
  </si>
  <si>
    <t>본부감사 수집정보 및 일상감사 관련 참고자료 관리</t>
    <phoneticPr fontId="3" type="noConversion"/>
  </si>
  <si>
    <t xml:space="preserve">일상감사 현황 조회 및 관리 </t>
    <phoneticPr fontId="3" type="noConversion"/>
  </si>
  <si>
    <t>Wise-net 에서 일상감사 생략대상으로 등록된 문서들을 조회</t>
    <phoneticPr fontId="3" type="noConversion"/>
  </si>
  <si>
    <t>일상감사 대상에 대해 개별 부서에서 사전협의 안을 등록하고 감사부에서 관리하는 기능 제공</t>
    <phoneticPr fontId="3" type="noConversion"/>
  </si>
  <si>
    <t>본부상시 항목별 점검대상 확인 및 점검 진행</t>
    <phoneticPr fontId="3" type="noConversion"/>
  </si>
  <si>
    <t>본부상시감사 점검 중 도출된 특이사항 또는 정보사항을 등록/관리</t>
    <phoneticPr fontId="3" type="noConversion"/>
  </si>
  <si>
    <t>본부상시감사 점검시 발생한 메시지 수발신 내용 관리</t>
    <phoneticPr fontId="3" type="noConversion"/>
  </si>
  <si>
    <t>상시감사 점검내역 (부점/항목) 조회</t>
    <phoneticPr fontId="3" type="noConversion"/>
  </si>
  <si>
    <t>상시감사 점검현황 및 통계자료 시각화 제공</t>
    <phoneticPr fontId="3" type="noConversion"/>
  </si>
  <si>
    <t>거래내역 통합 조회 (일별, 기간, 계좌/고객, 배치)</t>
    <phoneticPr fontId="3" type="noConversion"/>
  </si>
  <si>
    <t>지적사항 등록·관리</t>
    <phoneticPr fontId="3" type="noConversion"/>
  </si>
  <si>
    <t>지적사항 및 심의대상을 조회하고 심의내용을 등록·관리</t>
    <phoneticPr fontId="3" type="noConversion"/>
  </si>
  <si>
    <t>부점별 지적사항 및 관련 귀책정보 조회</t>
    <phoneticPr fontId="3" type="noConversion"/>
  </si>
  <si>
    <t>영업점 및 본부부서의 중요정보 보고내역 관리 (영업점에서 조회할 시 나오는 화면)</t>
    <phoneticPr fontId="3" type="noConversion"/>
  </si>
  <si>
    <t xml:space="preserve">특별감사 대상 목록 및 현황 조회 </t>
    <phoneticPr fontId="3" type="noConversion"/>
  </si>
  <si>
    <t xml:space="preserve">금융사고 목록 및 현황 등록/조회 </t>
    <phoneticPr fontId="3" type="noConversion"/>
  </si>
  <si>
    <t>감사지원</t>
    <phoneticPr fontId="3" type="noConversion"/>
  </si>
  <si>
    <t>대외검사 수검시 관련 정보 및 검사서 관리 기능 제공</t>
    <phoneticPr fontId="3" type="noConversion"/>
  </si>
  <si>
    <t>외부기관 또는 금융당국의 보도자료를 RPA를 통해 내부로 반입하여 조회할 수 있는 기능 제공</t>
    <phoneticPr fontId="3" type="noConversion"/>
  </si>
  <si>
    <t>감사 종류별 감사보고서를 통합하여 조회할 수 있는 화면</t>
    <phoneticPr fontId="3" type="noConversion"/>
  </si>
  <si>
    <t>사업년도별 추진과제 분류코드(대, 중, 소) 입력 기능 제공</t>
    <phoneticPr fontId="3" type="noConversion"/>
  </si>
  <si>
    <t xml:space="preserve">일반 개선/정보사항 등록 및 관리 기능 제공 </t>
    <phoneticPr fontId="3" type="noConversion"/>
  </si>
  <si>
    <t>감사역 인적사항 정보 등록 및 관리</t>
    <phoneticPr fontId="3" type="noConversion"/>
  </si>
  <si>
    <t>수신 계좌정보 명세 조회 기능 제공</t>
    <phoneticPr fontId="3" type="noConversion"/>
  </si>
  <si>
    <t>클라우드 개발 관련 정보 조회 (Jira 연계)</t>
    <phoneticPr fontId="3" type="noConversion"/>
  </si>
  <si>
    <t>회계결산 내역 조회 (경영정보시스템 연계)</t>
    <phoneticPr fontId="3" type="noConversion"/>
  </si>
  <si>
    <t>IQMS 등록정보 조회 (IQMS 연계)</t>
    <phoneticPr fontId="3" type="noConversion"/>
  </si>
  <si>
    <t>결재감사 정보 조회 (Wise-Net 연계)</t>
    <phoneticPr fontId="3" type="noConversion"/>
  </si>
  <si>
    <t>IT물품계약 정보 조회 (경영정보시스템 연계)</t>
    <phoneticPr fontId="3" type="noConversion"/>
  </si>
  <si>
    <t>마트 내 데이터를 화면에서 직접 조회할 수 있는 기능 제공 (SQL 수행)</t>
    <phoneticPr fontId="3" type="noConversion"/>
  </si>
  <si>
    <t>감사문서 열람률 관리</t>
  </si>
  <si>
    <t>감사관련 전행 통보문서의 부서별 열람률을 관리하고 열람 저조 부점 독려를 위한 알림 기능 제공</t>
    <phoneticPr fontId="3" type="noConversion"/>
  </si>
  <si>
    <t>그룹 법령관리 시스템과 비즈플렛폼, Wise-net을 연계하여 내·외규변경사항과 조치계획을 조회할 수 있는 기능 제공</t>
    <phoneticPr fontId="3" type="noConversion"/>
  </si>
  <si>
    <t>등록된 지적사항 keyword로 관련정보를 조회할 수 있는 기능 제공</t>
    <phoneticPr fontId="3" type="noConversion"/>
  </si>
  <si>
    <t>AI위험평가결과 부점위험조회(월별)</t>
  </si>
  <si>
    <t>AI위험평가 결과 및 현황을 볼 수 있는 대시보드 기능 제공</t>
    <phoneticPr fontId="3" type="noConversion"/>
  </si>
  <si>
    <t>긴급점검 현황</t>
  </si>
  <si>
    <t xml:space="preserve">통합상시 신규시나리오 중 긴급점검(금융사고 시나리오)대상 발생 시 관련 현황을 연계하여 조회하는 기능 제공 </t>
    <phoneticPr fontId="3" type="noConversion"/>
  </si>
  <si>
    <t>⚪ ‘추가’ 버튼 신설. 기존 입력 항목 선택 후 내용 일부 변경하여 추가 클릭 시 수정이 아니라 새로운 행으로 추가되어 지적사항으로 등록(지적사항 개별등록 개선 및 기능개선) (p134)
⚪ 지적사항 등록 화면에 추가버튼 신설, 소분류 항목에 기타 코드 및 항목 추가하여 선택 및 키워드 입력 필수 항목으로 추가(p134)
⚪ 지적사항 등록의 지적세부사항등록 탭에 당시직급, 당시 담당업무, 당시담당기간 조회해서 선택 하는 기능 개선(p135)
⚪ 지침과 과 규정, 지침등 내용, 규정 지침 및 세부내역요약 입력 시 입력 한계선을 표시(p135)</t>
    <phoneticPr fontId="3" type="noConversion"/>
  </si>
  <si>
    <t>⚪ 조회값 선택시 Auto-Refresh 기능 삭제 (항목 변경 후 조회버튼 누를 때에만 검색실행)
⚪ 조회결과 컬럼 추가 : 감사부점, 관련부점 (p136)</t>
    <phoneticPr fontId="3" type="noConversion"/>
  </si>
  <si>
    <t>⚪ 귀책부점 내용조회에서 검색조건에 지적부점과 PG별 선택 박스 제공하여 선택별로 조회 하는 기능, 지적부점별 Sorting 기능, 조회결과 목록에 감사부점, 관련 부점, 지적확정여부 및 PG점수 항목 추가(p137)</t>
    <phoneticPr fontId="3" type="noConversion"/>
  </si>
  <si>
    <t>시정진행현횡 조회와 시정관리 대장 조회 통합</t>
    <phoneticPr fontId="3" type="noConversion"/>
  </si>
  <si>
    <t>⚪ 감사정보시스템(부정용)의 지적사항관리 &gt; 지적사항 내역조회 &gt; 감사지적심의관리의 조회결과 사후관리등록 상세보기 팝업 화면에 지적사항 확인서보기 버튼 추가하여 지적내용 확인하는 기능 제공(지적부점용)</t>
    <phoneticPr fontId="3" type="noConversion"/>
  </si>
  <si>
    <t>지적부점화면의 감사지적심의관리</t>
    <phoneticPr fontId="3" type="noConversion"/>
  </si>
  <si>
    <t>20241112_감사정보시스템 고도화 및 클라우드 전환 구축_심의조사_2.docx</t>
    <phoneticPr fontId="3" type="noConversion"/>
  </si>
  <si>
    <t>⚪ 감사계획 등록 (특별감사)에서 계획년도와 차수가 같은 감사계획 시 대상부점과 관련부점을 등록 기능 제공(단 대상부점 변경시에는 기존 등록한 대상부점 및 관련부점을 모두 삭제 후 재 등록해야함)(p146)</t>
    <phoneticPr fontId="3" type="noConversion"/>
  </si>
  <si>
    <t>감사계획 등록 현황 조회 및 내용 수정</t>
    <phoneticPr fontId="3" type="noConversion"/>
  </si>
  <si>
    <t>⚪ 관리대장 등록시(상세팝업)시 기타체크 항목 중 금융사고 항목 체그 가능하도록 기능 제공(p147)
⚪ 특별감사 관리대장 등록시(상세팝업)의 보고서작성의 특별감사(조사)보고서 탭에 관련자 등록 방법은 입력상자에 여러개의 사번을 넣고 관련직원 일괄 등록하는 기능제공(p148)
⚪ 관련직원 선택후 팝업을 통해 기준일자 기준 발령직급 선택 가능한 팝업 기능 제공(p148)
⚪ 관련직원 선택후 상하로 우선순위를 조정하는 기능 제공(p148)
⚪ 보고서 내용 작성 시 기존 한글 1000자를 -&gt;8000자로 컬럼 크기 조정(p148)
⚪ 특별감사 관리대장 등록시(상세팝업)의 보고서작성의 심의결과 보고서 탭의 관련자는 이전 특별감사(주사)보고서의 관련자를 자동으로 세팅 하는 기능 제공(p149)</t>
    <phoneticPr fontId="3" type="noConversion"/>
  </si>
  <si>
    <t>⚪ 금융사고 등록 시 과거 또는 특정 사례와 연관이 있는 사고들을 별도로 관리하기 위해 ‘연관사고 등록’ 버튼 추가 및 기능개선(p150)
⚪ 조회결과 목록에 감사차수는 제외하고 연계금융사고번호만 표기(p150)</t>
    <phoneticPr fontId="3" type="noConversion"/>
  </si>
  <si>
    <t>⚪ 일상감사 현황 조회 및 관리 자동통보 기능 worKB연계 가능(P124)
⚪ 일상감사 현황 관련 검색기능 강화 : 영역별 Keyword 검색 기능 제공, 지역그룹, 본부단위 검색 기능 제공(P124)
⚪ 심의의견서 등 상세내용 조회 시 전체 Text 한눈에 조회 가능 제공(P124)
⚪ 일상감사 현황(종합) 분류 구분 추가(사전감사, 사후감사, 상임감사위원, 재위임)
⚪ 일상감사 현황을 대쉬보드 형태로 표시(p125)
⚪ 일상감사 현황(종합) 분류별 건수 표시(사전감사, 사후감사, 상임감사위원, 재위임)(p125)</t>
    <phoneticPr fontId="3" type="noConversion"/>
  </si>
  <si>
    <t>⚪ 화면 조회 시 컬럼정보 추가 : 생략문서 별 ‘생략사유‘ 정보 각 생략사유 클릭 시 등록된 전체 텍스트 정보를 확인할 수 있도록 기능 제공(P126)</t>
    <phoneticPr fontId="3" type="noConversion"/>
  </si>
  <si>
    <t>본부 및 글로벌 상시감사 점검항목 분석</t>
    <phoneticPr fontId="3" type="noConversion"/>
  </si>
  <si>
    <t>점검항목 별 Rule관리 화면 개발</t>
    <phoneticPr fontId="3" type="noConversion"/>
  </si>
  <si>
    <t>⚪ 상시감사 점검항목(점검메뉴얼)관리는 점검항목 분류별, 점검항목명, 점검구분별 조회 기능 제공(p19, p32 ~p37)
⚪ 점검항목 분류별, 점검항목명, 점검구분별 조회 기능 제공(p19, p32 ~p37)
⚪ 점검항목별 점검배경, 점검구분, 방법, 점검방법, 관련규징 및 지침 등 을 관리 할 수 있는 기능제공(p19, p32 ~p37)
⚪ 점검항목별 수정시 변경 이력 관리가 가능한 기능 제공(p19, p32 ~p37)</t>
    <phoneticPr fontId="3" type="noConversion"/>
  </si>
  <si>
    <t>점검항목별 메뉴얼 관리</t>
    <phoneticPr fontId="3" type="noConversion"/>
  </si>
  <si>
    <t>본부/글로벌 Rule분석 결과 조회</t>
  </si>
  <si>
    <t>글로벌 상시</t>
    <phoneticPr fontId="3" type="noConversion"/>
  </si>
  <si>
    <t>글로벌상시 항목별 점검대상 확인 및 점검 진행</t>
    <phoneticPr fontId="3" type="noConversion"/>
  </si>
  <si>
    <t>⚪ 글로벌 상시 점검항목 점검 시 개별부에 보여지는 정보 항목 추가-항목 미정의 (컨설팅요건정의서 페이지 없음)</t>
    <phoneticPr fontId="3" type="noConversion"/>
  </si>
  <si>
    <t>점검결과 내용 목록 조회 보고서 출력</t>
    <phoneticPr fontId="3" type="noConversion"/>
  </si>
  <si>
    <t>⚪ 사유회신 메시지 전송 후 ‘미회신’ 항목(응답일시 없음)들만 별도 조회 가능하도록 검색조건 개선(p26)
⚪ 메신저 담당자(workB담당자 : 경영정보개발부 박태주수석)에 메시지 회신여부등 가능 여부 확인 후 적용 가능(IT, 개발)
   -  회신여부 가능 시 글로벌 상시도 지원 가능 여부 추가 확인필요</t>
    <phoneticPr fontId="3" type="noConversion"/>
  </si>
  <si>
    <t>본부상시 점검결과 등록기능 및 점거결과 조회 기능 개선</t>
    <phoneticPr fontId="3" type="noConversion"/>
  </si>
  <si>
    <t>⚪ 점검항목의 RM공유 대상 기능 미구현으로 공유검사역 및 RM공유대상 항목 추가하지 않음(p25)</t>
    <phoneticPr fontId="3" type="noConversion"/>
  </si>
  <si>
    <t>점검결과 내용 목 조회</t>
    <phoneticPr fontId="3" type="noConversion"/>
  </si>
  <si>
    <t xml:space="preserve">⚪ 점검내용 등록의 지적사항 작성시 템플릿 기능 적용 하지 않음(p21)
⚪ 점검내용  점검취소 기능 제공(p22)
 - 점검 등록자만 점검취소가능
 - 이력관리 하지않고 최종 점검자만 관리
 - 점검검취소는 결재 기능 없음
⚪ RM감사역과 공유하고 싶은 경우에는 체크버튼 기능 구현하지 않음(p23) </t>
    <phoneticPr fontId="3" type="noConversion"/>
  </si>
  <si>
    <t>본부상시감사 메시지 전송현황 조회</t>
    <phoneticPr fontId="3" type="noConversion"/>
  </si>
  <si>
    <t>본부/글로벌 Rule 분석 결과 조회</t>
    <phoneticPr fontId="3" type="noConversion"/>
  </si>
  <si>
    <t>긴급점검 항목 신속지원</t>
    <phoneticPr fontId="3" type="noConversion"/>
  </si>
  <si>
    <t>⚪ 기존 화면 기능 유지 (영업점 관련 기능 제외, 본부/글로벌 전용으로 기능 구성) (p29)
⚪ 업무구분 검색조건 추가, 본부/글로벌 상시업무에 맞춰 하단 통계표 컬럼정보 변경
⚪ 조회조건 상시감사역 선택 박스 삭제로 점검률, 지도 삭제는 구현 하지 않음
⚪ 기준기간별 실시간 추출, 점검등 출력항목 감사부에서 정의 후 기능 구현</t>
    <phoneticPr fontId="3" type="noConversion"/>
  </si>
  <si>
    <t xml:space="preserve">⚪ 영업점 상시점검 거래내역 통합조회와 본부 및 글로벌 상시의 거래내역 유형이 상이해서 해당 화면 기능 구현하지 않음(p30) </t>
    <phoneticPr fontId="3" type="noConversion"/>
  </si>
  <si>
    <t>임점 대상 부서의 현황 조회</t>
  </si>
  <si>
    <t>영업감사 진행 시 감사역들이 감사일보를 작성하고 관리하는 화면</t>
  </si>
  <si>
    <t>감사를 위한 항목별 부점 자료 조회 (내부통제 업무 관련)</t>
  </si>
  <si>
    <t>영업점 위험항목별 수치 입력 및 관리 기능 제공</t>
  </si>
  <si>
    <t>감사계획 등록 현황 조회 및 내용 수정 / (신규) 감사예정 영업점 계획 자동등록 기능 신설</t>
  </si>
  <si>
    <t>감사역 배정 정보를 확인하고 변경/등록 / (신규) 
감사역 추천 배정 등록기능 신설</t>
  </si>
  <si>
    <t>감사계획에 따른 감사건별 감사역 배정현황 조회 및 내용 수정 기능 제공</t>
  </si>
  <si>
    <t>부책감사 결과 등록 (심의 대상에 대한 세부 내용 및 관련 지적사항 입력)</t>
  </si>
  <si>
    <t>기존 감사자료(여신) 항목별 조회 자료를 ‘차주’ 단위에서 일괄로 조회할 수 있도록 기능제공</t>
  </si>
  <si>
    <t>사전감사를 위한 부점현황과 점검항목, 특이정보, 참고사항 등 관련 정보를 종합제공</t>
  </si>
  <si>
    <t>감사역 배정 시 활용되는 참고사항 등록·관리</t>
  </si>
  <si>
    <t>각 분기별 정기부책 실시 시 현황정보를 입력/조회 할 수 있는 기능 제공</t>
  </si>
  <si>
    <t>영업감사 현황을 확인할 수 있는 대시보드</t>
  </si>
  <si>
    <t>본부감사 종료 이후 감사결과 및 관련 자료 등록/관리</t>
  </si>
  <si>
    <t>대외규정상 준수대상 계량지표 관련 내용 조회</t>
  </si>
  <si>
    <t>글로벌영업점 감사업무 매뉴얼 조회 및 관리</t>
  </si>
  <si>
    <t>사업본부별 BMP 관련 자료 조회 및 관리</t>
  </si>
  <si>
    <t>본부 감사결과에 따른 지적사항 등록</t>
  </si>
  <si>
    <t>본부 감사결과에 따른 지적현황 세부내역 조회 및 관리</t>
  </si>
  <si>
    <t>감사종료 후 등록된 지적사항 중 심의 필요 대상 의뢰 및 관리</t>
  </si>
  <si>
    <t>내부통제평가 근기표 등록 및 자료 관리</t>
  </si>
  <si>
    <t>지적사항사후점검 내용 등록 및 자료 관리</t>
  </si>
  <si>
    <t>글로벌감사 중요정보보고 및 수검정보보고 내역 관리</t>
  </si>
  <si>
    <t>국가별 RM정보 및 공통자료 관리</t>
  </si>
  <si>
    <t>본부감사 주요 자료 및 전파내용 관리</t>
  </si>
  <si>
    <t>다면평가 과거 이력 조회 전용 메뉴 (2016.06 이전 자료)</t>
  </si>
  <si>
    <t xml:space="preserve">감사별 평가 내역 및 결과 조회 </t>
  </si>
  <si>
    <t>감사역들의 감사활동에 대한 평가결과 조회 및 관리</t>
  </si>
  <si>
    <t>사업그룹 별 평가 총괄표 작성 및 관리</t>
  </si>
  <si>
    <t>본부 디지털 내부통제 점검 체크리스트 항목 관리</t>
  </si>
  <si>
    <t>본부 디지털 내부통제 점검 체크리스트 항목별 세부 현황 조회</t>
  </si>
  <si>
    <t>내부통제점검 체크리스트 항목별 현황조회 (법적서류 점검)</t>
  </si>
  <si>
    <t>내부통제점검 체크리스트 항목별 현황조회 (인장날인 점검)</t>
  </si>
  <si>
    <t>내부통제점검 체크리스트 항목별 현황조회 (사무분담 점검)</t>
  </si>
  <si>
    <t>내부통제점검 체크리스트 항목별 현황조회 (명령휴가 의무대상자 점검)</t>
  </si>
  <si>
    <t>내부통제점검 체크리스트 항목별 현황조회 (일일검사 점검)</t>
  </si>
  <si>
    <t>내부통제점검 체크리스트 항목별 현황조회 (특명검사 점검)</t>
  </si>
  <si>
    <t>내부통제점검 체크리스트 항목별 현황조회 (부점명의통장 점검)</t>
  </si>
  <si>
    <t>내부통제점검 체크리스트 항목별 현황조회 (정기적 점검사항 점검)</t>
  </si>
  <si>
    <t>내부통제점검 체크리스트 항목별 현황조회 (부점교육현황 점검)</t>
  </si>
  <si>
    <t>내부통제점검 체크리스트 항목별 현황조회 (가수가지급금 점검)</t>
  </si>
  <si>
    <t>본부감사 현황을 확인할 수 있는 대시보드</t>
  </si>
  <si>
    <t>본부별 위험요인 현황 조회</t>
  </si>
  <si>
    <t>부서별 수행업무(총괄)를 입력·관리하는 화면</t>
  </si>
  <si>
    <t>부서별 수행업무 상세내역을 입력·관리하는 화면</t>
  </si>
  <si>
    <t>영업점-&gt;본부부서로 전입하여 위험평가대상에서 제외된 직원들의 과거 이력을 조회하는 기능 제공</t>
  </si>
  <si>
    <t>영업점/본점에서 자신에게 지적된 내용을 조회하고 사후관리를 할 수 있는 기능 제공</t>
  </si>
  <si>
    <t>⚪ 알림기능 추가 &gt; Daily 체크, 16시기준 감사일보 미작성(N) 감사역에게 workB를 통한 쪽지 알림 발송(p43)
⚪ 조회 결과 항목에 감사일지작성여부 추가</t>
    <phoneticPr fontId="3" type="noConversion"/>
  </si>
  <si>
    <t>영업점 현황과 위험수준 등을 종합적으로 제공</t>
    <phoneticPr fontId="3" type="noConversion"/>
  </si>
  <si>
    <t>⚪ 감사자료 출력 시 원천데이터 값 정합성 확보
⚪ 영업감사 감사자료는 ASIS기능 유지(p46)</t>
    <phoneticPr fontId="3" type="noConversion"/>
  </si>
  <si>
    <t>영업점별 위험수준 평가결과 조회 및 지표 산출 결과를 토대로 예정감사 등록하거나 신규 감사대상점 등록</t>
    <phoneticPr fontId="3" type="noConversion"/>
  </si>
  <si>
    <t>위험수준 평가 및 대상 영업점 선정 자동화</t>
    <phoneticPr fontId="3" type="noConversion"/>
  </si>
  <si>
    <t>위험수준 평가 결과에 따라 주기별 감사대상점 추천</t>
    <phoneticPr fontId="3" type="noConversion"/>
  </si>
  <si>
    <t>감사대상 영업점 확정시 감사계획 및 감사역 배정 자동화</t>
    <phoneticPr fontId="3" type="noConversion"/>
  </si>
  <si>
    <t>⚪ 영업점별 위험수준 평가결과‘ 화면에서 등록 확정된 대상은 별도의 입력 없이 자동으로 본 화면에서 조회 가능 (p50)
⚪ 배정감사역 추천등록 클릭 시 관련내용 Pop-up하여 지정 / 기존화면에서 배정 후 기 등록내역 표시
⚪ 배정감사역 추천기준에 따른 일괄 자동등록 기능(감사계획 차수 기준)
⚪ 확정 클릭 시 감사계획 및 감사역 배정이 확정되어 기안문 작성 및 출력 프로세스로 이동</t>
    <phoneticPr fontId="3" type="noConversion"/>
  </si>
  <si>
    <t>등록된 감사계획 관련 정보 조회</t>
    <phoneticPr fontId="3" type="noConversion"/>
  </si>
  <si>
    <t xml:space="preserve">⚪ 감사계획 등록 화면에서 확정 된 대상들만 본 화면에서 조회됨 (화면연계) (p52)
⚪ 입력 정보를 기반으로 기안문 양식이 자동생성 되며, 파일로 다운로드 가능 (감사계획차수 기준으로 생성) 
※ 기안문 양식 별도 제공 필요(감사부)
⚪ 본부장 결재(수기) 완료 대상은 담당자가 계획 확정 처리하여 다음 프로세스로 진행 </t>
    <phoneticPr fontId="3" type="noConversion"/>
  </si>
  <si>
    <t>⚪ 감사역 배정 추천조회 시 추천 배정결과가 해당 칸에 표시되며, 배정등록 시 확정되어 배정현황에 내용 업데이트 (p51)
⚪ 추천대상 영업점 선택 : 해당 차수에 포함된 영업점 전체 or 지정된 영업점만 반영
⚪ 추천 우선기준 : 우선기준 선택 시 해당 기준에 맞는 알고리즘으로 감사역 배정 추천
   - 추천감사역 알고리즘에 항목 추가 요청( 감사부에서 항목정의 후 전달 예정)
⚪ 배정인원 기준 선택 : 최소, 최대 인원 선택시 해당 인원기준에 맞춰 감사역 배정 진행
⚪ ‘추천조회’ 버튼 클릭 시 감사역 배정 추천 기능 작동 &gt; 2번 화면에 대상 표시 (p51)
⚪ ‘배정등록’ 버튼 클릭 시  추천결과에 표시된 내용이 배정확정 &gt; 감사계획 등록 화면서 확정내용 표시</t>
    <phoneticPr fontId="3" type="noConversion"/>
  </si>
  <si>
    <t>⚪ 감사역 배정등록 시 동일한 감사기간 중 감사역이 이중 배정될 경우 팝업 안내 표시 (p53)
⚪ 감사역 배정등록 알림 팝업 표출 요건은 같은년도 같은 차수에 배정될경우
⚪ 기 배정내용을 변경하시려면 확인버튼을 눌러주세요 문구 삭제
⚪ 확인, 취소 버튼 삭제 및 닫기 버튼 추가</t>
    <phoneticPr fontId="3" type="noConversion"/>
  </si>
  <si>
    <t>테마감사 대쉬보드</t>
    <phoneticPr fontId="3" type="noConversion"/>
  </si>
  <si>
    <t>⚪ 점검항목 1. 생활안정자금, 2.전세자금대출, 3. 신용대출 주택추가매수  항목 삭제 그외 항목 유지(p54)</t>
    <phoneticPr fontId="3" type="noConversion"/>
  </si>
  <si>
    <t>⚪ 부점/영업그룹 단위 직원별 지수현황/순위 등을 조회할 수 있는 기능 제공 (p56)
⚪ 기준정보 데이터는 배치 수행으로 생성 - 실시간 조회는 되지않음(D-1 데이터)
⚪ 기준년월 달력컨트롤러로 교체 - 현재일자 출력, 비활성 처리
⚪ 직원번호 검색 조건 추가 - 직원번호로 검색시 해당 직원의 모든 이력 출력
⚪ 부점 검색 조건을 영업그룹/부점을 영업그룹/PG 로 변경
⚪ 목록 출력 항목 추가 및 변경 (지역영업그룹 이후에 PG추가, 그룹내순위 다음에 PG별순위 추가, 부점내순위의 위치 PG별순위)
⚪ 위험평가 상세 조회 팝업 중 직원위험 유형분류는 AI직원평가결과 정보 추후 협의 후 결정
⚪ 직원별 지수 조회는 RAS 정의에 따른 위험지수 결과로 표시</t>
    <phoneticPr fontId="3" type="noConversion"/>
  </si>
  <si>
    <t>⚪ 정기부책 분기별 실시 내용을 등록하고 조회할 수 있는 기능 제공(p60)
⚪ (조회) 감사년도 및 분기 단위로 조건값을 지정하여 조회 가능
⚪ 조회조건에 따라 표시된 항목별로 계좌수, 금액을 입력 할 수 있으며, 값 입력 후 저장을 눌러 데이터를 반영할 수 있음 
   - 계좌수(좌) 및 금액(백만원) 항목에 데이터 미입력 시 기본값 0
⚪ 부책감사 현황(계좌수) 차트 제외</t>
    <phoneticPr fontId="3" type="noConversion"/>
  </si>
  <si>
    <t>본부감사에서 내감사 및 진행감사 현황 조회</t>
    <phoneticPr fontId="3" type="noConversion"/>
  </si>
  <si>
    <t>감사진행 상황에 맞춰 산출물과 보고서가 작성될 수 있도록 각 단계의 주요 프로세스가 완료되지 않으면 다음 프로세스를 진행할 수 없도록 통제 제한</t>
    <phoneticPr fontId="3" type="noConversion"/>
  </si>
  <si>
    <t>⚪ 기타자료등록 및 감사실시통보서 버튼 존재 이외 버튼 삭제
⚪ 감사자료  단계 : 감사실시계획, 제출자료 및 감사일정 및 업무분장으로 분류
⚪ 본부감사&gt;사전감사&gt;사전감사자료의 감사실시계획 메뉴 -&gt; (구)감사실시계획으로 변경
⚪ 본부감사&gt;사전감사&gt;사전감사자료의 (신)감사실시계획 메뉴 신규 생성하여 감사자료단계에서 등록한 감사실시계획 목록 조회 화면 구현
⚪ 본부감사&gt;사전감사&gt;사전감사자료의 감사실시계획 메뉴 -&gt; (구)제출자료목록으로 변경
⚪ 본부감사&gt;사전감사&gt;사전감사자료의 (신)제출자료 메뉴 신규 생성하여 감사자료단계에서 등록한 제출자료 목록 조회 화면 구현
⚪ 본부감사&gt;사전감사&gt;사전감사자료에 감사일정 및 업무분장 메뉴 신규 생성하여 감사자료단계에서 등록한 감사일정 및 업무분장 목록 조회 화면 구현
⚪ 감사결과보서  단계 : 해당 프로세스단계의 최종 단계로 최하위에 위치하며 감사결과보고서 작성 및 해당 감사결과보고서 단계에만 승인 상태 항목 추가
⚪ 각 감사단계 미종료 시(단계별 승인상태가 미승인일 경우) 후속절차 진행(등록/입력) 못하도록 전산통제 기능 추가(P70)</t>
    <phoneticPr fontId="3" type="noConversion"/>
  </si>
  <si>
    <t>⚪ 본부감사 &gt; 사전감사 &gt; 사전감사자료 &gt; 대외규정상 준수대상 계량지표 점검 &gt; 참고자료 및 연도별 점검 메뉴 통합(p72)</t>
    <phoneticPr fontId="3" type="noConversion"/>
  </si>
  <si>
    <t>⚪ 본부감사 &gt; 사전감사 &gt; 감사업무방법서 &gt; 글로벌영업점 감사업무 매뉴얼의 하위 메뉴 통합(p73)
⚪ 통합 화면의 지역지점 선택 종류는 뉴욕지점, 동경지점, 구르그람지점, 첸나이지점, 푸네지점, 런던지점, 홍콩지점, 싱가포르지점, 호치민지점, 하노이지점, 중국현지법인(광저우지점, 하얼빈지점 통합), MF미얀마법인, 미얀마은행, KB Bank(인도네시아) KB Prasac항목으로 선택 박스 구현</t>
    <phoneticPr fontId="3" type="noConversion"/>
  </si>
  <si>
    <t>⚪  목록 또는 팝업에서 기피등록건수 클릭시 기피대상 목록을 출력하는 기능 지원(p59)
⚪ 검색조건(Default:소속직원 전체) : 대상직원, 담당업무, 담당지역
⚪ 조회결과 목록에서 특정 목록 더블클릭 시 상세보기 Pop-up
   - 기본정보(인사DB 연동) : 감사역, 직책, 감사부 전입일자, 업무경력
   - 입력정보 : 순서, 담당업무, 담당지역
   - 연계정보 : 기피등록건수 – 감사업무 기피대상 관리 및 감사배정현황(감사계획에서 담당 감사역 배정되었을 경우 해당 감사종류 표시)
⚪ 등록버튼 클릭 시 직원별 참고사항 입력 가능(입력 세부항목은 현업 확정 필요)
⚪ 조회결과 그리드의 "기피등록건수" 항목 클릭시기피대상 목록을 출력하는 기능 지원</t>
    <phoneticPr fontId="3" type="noConversion"/>
  </si>
  <si>
    <t xml:space="preserve">⚪ 내감시 및 진행 감사에서 등록한 감사조서, 감사결과 보고서, 귀임보고서 선택다운로드 및 일괄 다운로드 할 수있는 기능 제공(p71)
⚪ 본부감사&gt;감사운영&gt;전체감사&gt;연도도별 메뉴 화면에 기실시한 감사 조회 결과 항목의 감사역항목 다음에 감사보고서 항목 추가하여 감사보고서조회 항목을 클릭하면  계획년, 차수, 감사명, 감사조서(다운로드), 귀임보고서(다운로드), 감사보고서(다운로드), 일괄다운로드 항목으로 구성 된 Pop-Up창 생성 </t>
    <phoneticPr fontId="3" type="noConversion"/>
  </si>
  <si>
    <t xml:space="preserve">⚪ 본부감사&gt;정보관리&gt;과거자료 모음 메뉴에 통합(p74) </t>
    <phoneticPr fontId="3" type="noConversion"/>
  </si>
  <si>
    <t>⚪ 다운로드 버튼을 본점, 부점분리하여 본점용 및 부점용 다운로드 가능 하도록 기능 제공(p77)
⚪ 지적사항 조치완료 기일도래 전 담당자/감사역/운영반에 별도 알림 전송(기능 구현되어 있음)
⚪ ASIS의 부서별 조회와 감사역별 조회 화면의 검색 항목(조치상태, 감사역, 부서조회, 지적사항 제목, 팀구분, 감사구분, Keyword조회/검색어)을 추가하여 검색조건 기능 제공</t>
    <phoneticPr fontId="3" type="noConversion"/>
  </si>
  <si>
    <t>⚪ 내부통제평가근기표의 하위 메뉴인 참고자료, 연도별 자료 메뉴 통합
   - 연도별 자료 선택시 조회년도 선택 시 연도선택 Select Box 활성화(p79)</t>
    <phoneticPr fontId="3" type="noConversion"/>
  </si>
  <si>
    <t>⚪ 지적사항사후점검내용조회의 하위 메뉴인 지적사항사후점검, 분기점검 및 현장감사 메뉴 통합(p80)</t>
    <phoneticPr fontId="3" type="noConversion"/>
  </si>
  <si>
    <t>⚪ 국외감사 RM보고 메뉴의 하위 메뉴인 미국, 일본, 홍콩, 영국, 뉴질랜드, 인도, 중국, 베트남, 캄보디아, 미얀마, 통합RM보고서 및 화상회의자료 메뉴 통합(p82)</t>
    <phoneticPr fontId="3" type="noConversion"/>
  </si>
  <si>
    <t>⚪ 본부감사&gt;정보관리’ 하위 메뉴 중 감사제도/운영, 정보수집자료 및 금감원 업무보고서/사업그룹모니터링자료 통합(p83)</t>
    <phoneticPr fontId="3" type="noConversion"/>
  </si>
  <si>
    <t>⚪ 본부감사&gt;관리자&gt;다면평가(2016.06이전)의 하위 메뉴인 다면평가현황 조회 및 다면평가결과 조회 메뉴 통합(P84)</t>
    <phoneticPr fontId="3" type="noConversion"/>
  </si>
  <si>
    <t>⚪ 감사별 평가 결과 조회시 과거 부점명 결과 항목 추가(과거 부점명은 검색 시작일 기준으로 과거 부점명 표시하며 과거 기준 부점명은 5년이내 데이터만 조회(P85)
 - 본부감사&gt;감사운영&gt;감사선택&gt;내감사&gt;&gt;(구)대표부점명 조회결과에 항목추가
 - 본부감사&gt;감사운영&gt;전체감사&gt;연도별&gt;연도별 검색&gt;(구)대표부점명 조회결과에 항목추가
 - 본부감사&gt;감사운영&gt;전체감사&gt;연도별&gt;감사목록검색&gt;(구)대표부점명 조회결과에 항목추가
 - 본부감사&gt;감사결과&gt;지적사항관리&gt;내 지적사항&gt;년도별검색&gt;(구)실행부서 조회결과에 항목추가
 - 본부감사&gt;감사결과&gt;지적사항관리&gt;감사별조회&gt;감사목록 검색&gt;(구)실행부서 조회결과에 항목추가
 - 본부감사&gt;감사결과&gt;지적사항관리&gt;감사역별조회&gt;&gt;(구)실행부서 조회결과에 항목추가
 - 본부감사&gt;감사결과&gt;지적사항관리&gt;지적사항 명세&gt;&gt;(구)실행부서 조회결과에 항목추가
 - 본부감사&gt;감사결과&gt;지적사항관리&gt;심의의뢰&gt;&gt;(구)대상부점 조회결과에 항목추가
 - 본부감사&gt;관리자&gt;수감부서 설문조사 관리&gt;감사별 평가 결과&gt;부서별 평가 결과&gt;(구)부점명 조회결과에 항목추가
 - 본부감사&gt;관리자&gt;수감부서 설문조사 관리&gt;감사별 평가 결과&gt;개인별 평가 결과&gt;(구)부점명 조회결과에 항목추가
 - 본부감사&gt;관리자&gt;수감부서 설문조사 관리&gt;감사별 평가 결과&gt;감사실시 명세&gt;(구)부점명 조회결과에 항목추가</t>
    <phoneticPr fontId="3" type="noConversion"/>
  </si>
  <si>
    <t>⚪ 평가수정버튼 요청이 있었으나 수정이 필요없어서 현행 유지(p87)</t>
    <phoneticPr fontId="3" type="noConversion"/>
  </si>
  <si>
    <t>⚪ 본부 부서 디지털 내부통제 점검을 위해 기 선정된 주요 점검항목에 대한 현황을 조회하고 점검대상 존재 시 세부내역을 확인할 수 있도록 기능 제공(p88~p89)
⚪ 등록버튼은 시스템운영팀(IT)만 사용 가능하도록 권한 부여(점검항목 등록 후 데이터 연계 해야 하기 때문)</t>
    <phoneticPr fontId="3" type="noConversion"/>
  </si>
  <si>
    <t>⚪ 본부 부서 디지털 내부통제 점검을 위해 기 선정된 주요 점검항목에 대한 현황을 조회하고 점검대상 존재 시 세부내역을 확인할 수 있도록 기능 제공(p90~p91)
⚪ 조회조건에 점검항목 목록 추가 점검항목 선택시 검색조건 기준년월일을 점검주기에 따라 일 월로 변경
⚪ 점검항목 상세보기를 팝업으로 구현 할지 아니면 점검항목별 메뉴로 별도 구현 할지 추후 정의하여 화면 기능 구현</t>
    <phoneticPr fontId="3" type="noConversion"/>
  </si>
  <si>
    <t>⚪ 인장날인 사무분담 지정현황 조회용 화면(p95)
⚪ 조회조건 – 부서 : 부점별 또는 전체부서 조회 가능, 조회기준일 : 현재일자 고정)
⚪ 조회기준 – 부점별 : 직원 사무분담내용에 ‘인장관리’, ‘인장입회’가 포함된 직원을 표시 (부서별 등록현황에 따라 표시정보 중복 가능)
⚪ 점검항목 상세보기를 팝업으로 구현 할지 아니면 점검항목별 메뉴로 별도 구현 할지 추후 정의하여 화면 기능 구현</t>
    <phoneticPr fontId="3" type="noConversion"/>
  </si>
  <si>
    <t>⚪ 부점별 법적서류 교부/폐기 현황 조회용 화면(p94)
⚪ 조회조건 – 부서 : 부점별 또는 전체부서 조회 가능, 조회기준일 : 현재일자 고정, 조회구분 : 전체/교부/일반폐기
⚪ 조회기준 – 부점별 : 법적서류 보유현황 상세내역을 표기 (경영정보시스템 데이터 연계)
⚪ 점검항목 상세보기를 팝업으로 구현 할지 아니면 점검항목별 메뉴로 별도 구현 할지 추후 정의하여 화면 기능 구현</t>
    <phoneticPr fontId="3" type="noConversion"/>
  </si>
  <si>
    <t>⚪ 법적서류 재고현황 조회용 화면(p93)
⚪ 조회조건 – 부서 : 부점별 또는 전체부서 조회 가능, 조회기준일 : 현재일자 고정
⚪ 조회기준 – 부점별 : 인감서류 보유현황 표시 / 재고수량, 인수예정수량 존재시 클릭하여 세부내용 조회 가능
⚪ 점검항목 상세보기를 팝업으로 구현 할지 아니면 점검항목별 메뉴로 별도 구현 할지 추후 정의하여 화면 기능 구현</t>
    <phoneticPr fontId="3" type="noConversion"/>
  </si>
  <si>
    <t>⚪ 법적서류 사무분담 지정현황 조회용 화면(p92)
⚪ 조회조건 – 부서 : 부점별 또는 전체부서 조회 가능, 조회기준일 : 현재일자 고정
⚪ 조회기준 – 부점별 : 직원 사무분담내용에 ‘법적서류’가 포함된 직원을 표시
⚪ 점검항목 상세보기를 팝업으로 구현 할지 아니면 점검항목별 메뉴로 별도 구현 할지 추후 정의하여 화면 기능 구현</t>
    <phoneticPr fontId="3" type="noConversion"/>
  </si>
  <si>
    <t>⚪ 인장날인 절차 미준수 현황 조회용 화면(p96)
⚪ 조회조건 – 부서 : 부점별 또는 전체부서 조회 가능, 조회기준일 : 현재일자 고정
⚪ 점검항목 상세보기를 팝업으로 구현 할지 아니면 점검항목별 메뉴로 별도 구현 할지 추후 정의하여 화면 기능 구현</t>
    <phoneticPr fontId="3" type="noConversion"/>
  </si>
  <si>
    <t>⚪ 중요인장 날인명세(담보용) 조회용 화면(p97)
⚪ 조회조건 – 부서 : 부점별 또는 전체부서 조회 가능, 조회기준일 : 현재일자 고정
⚪ 점검항목 상세보기를 팝업으로 구현 할지 아니면 점검항목별 메뉴로 별도 구현 할지 추후 정의하여 화면 기능 구현</t>
    <phoneticPr fontId="3" type="noConversion"/>
  </si>
  <si>
    <t>⚪ 중요인장 날인명세(일반용) 조회용 화면(p98)
⚪ 조회조건 – 부서 : 부점별 또는 전체부서 조회 가능, 조회기준일 : 현재일자 고정(P98)
⚪ 점검항목 상세보기를 팝업으로 구현 할지 아니면 점검항목별 메뉴로 별도 구현 할지 추후 정의하여 화면 기능 구현</t>
    <phoneticPr fontId="3" type="noConversion"/>
  </si>
  <si>
    <t>⚪ 부점별 사무분담 지정현황 조회용 화면 (p99)
⚪ 조회조건 – 부서 : 부점별 또는 전체부서 조회 가능, 기준년월
⚪ 점검항목 상세보기를 팝업으로 구현 할지 아니면 점검항목별 메뉴로 별도 구현 할지 추후 정의하여 화면 기능 구현</t>
    <phoneticPr fontId="3" type="noConversion"/>
  </si>
  <si>
    <t>⚪ 전결권한 재위임 운영 현황 조회용 화면(p100)
⚪ 조회조건 – 부서 : 부점별 또는 전체부서 조회 가능, 기준년월
⚪ 조회기준 - 부서별 : 사무분담 현황을 기준으로 별도사무분담 입력 정보 중 ‘직무전결재위임’이 포함된 대상을 수집하여 화면에 표시
⚪ 점검항목 상세보기를 팝업으로 구현 할지 아니면 점검항목별 메뉴로 별도 구현 할지 추후 정의하여 화면 기능 구현</t>
    <phoneticPr fontId="3" type="noConversion"/>
  </si>
  <si>
    <t>⚪ 부점별 명령휴가 대상자 현황 조회용 화면(p101)
⚪ 조회조건 – 부서 : 부점별 또는 전체부서 조회 가능, 기준년월
⚪ 조회기준 - 부점별 : 명령휴가 현황을 표시하며, 각 세부항목은 준법지원시스템에 등록된 내역을 연계하여 표시
⚪ 점검항목 상세보기를 팝업으로 구현 할지 아니면 점검항목별 메뉴로 별도 구현 할지 추후 정의하여 화면 기능 구현</t>
    <phoneticPr fontId="3" type="noConversion"/>
  </si>
  <si>
    <t>⚪ 일일 검사 당일 및 익일항목 미등록 명세 조회용 화면(p102)
⚪ 조회조건 – 부서 : 부점별 또는 전체부서 조회 가능, 기준년월일
⚪ 점검항목 상세보기를 팝업으로 구현 할지 아니면 점검항목별 메뉴로 별도 구현 할지 추후 정의하여 화면 기능 구현</t>
    <phoneticPr fontId="3" type="noConversion"/>
  </si>
  <si>
    <t>⚪ 일일검사일지 당일 미결재 명세 조회용 화면(p103)
⚪ 조회조건 – 부서 : 부점별 또는 전체부서 조회 가능, 기준년월일
⚪ 부점별 일일검사 점검 현황을 표시하며, 각 세부항목은 준법지원시스템에 등록된 내역을 연계하여 표시 / 미결재 상태 또는 결재요청일과 결재완료일이 상이할 경우 점검대상으로 표시
⚪ 점검항목 상세보기를 팝업으로 구현 할지 아니면 점검항목별 메뉴로 별도 구현 할지 추후 정의하여 화면 기능 구현</t>
    <phoneticPr fontId="3" type="noConversion"/>
  </si>
  <si>
    <t>⚪ 특명검사 미실시 명세 조회용 화면(p104)
⚪ 조회조건 – 부서 : 부점별 또는 전체부서 조회 가능, 기준년월일
⚪ 점검항목 상세보기를 팝업으로 구현 할지 아니면 점검항목별 메뉴로 별도 구현 할지 추후 정의하여 화면 기능 구현</t>
    <phoneticPr fontId="3" type="noConversion"/>
  </si>
  <si>
    <t>⚪ 특명검사 실시 명세 조회용 화면(p105)
⚪ 조회조건 – 부서 : 부점별 또는 전체부서 조회 가능, 기준년월일
⚪ 점검항목 상세보기를 팝업으로 구현 할지 아니면 점검항목별 메뉴로 별도 구현 할지 추후 정의하여 화면 기능 구현</t>
    <phoneticPr fontId="3" type="noConversion"/>
  </si>
  <si>
    <t>⚪ 부점명의통장 입금분 중 당일 잔액 미정리 조회용 화면(p107)
⚪ 조회조건 – 부서 : 부점별 또는 전체부서 조회 가능, 기준년월일
⚪ 점검항목 상세보기를 팝업으로 구현 할지 아니면 점검항목별 메뉴로 별도 구현 할지 추후 정의하여 화면 기능 구현</t>
    <phoneticPr fontId="3" type="noConversion"/>
  </si>
  <si>
    <t>⚪ 부점별 부점명의통장 개설/해지 현황 조회용 화면(p106)
⚪ 조회조건 – 부서 : 부점별 또는 전체부서 조회 가능, 조회기준일 : 현재일자 고정
⚪ 부점별 보유중인 부점명의 통장현황을 준법지원 시스템정보와 연계하여 표시
⚪ 점검항목 상세보기를 팝업으로 구현 할지 아니면 점검항목별 메뉴로 별도 구현 할지 추후 정의하여 화면 기능 구현</t>
    <phoneticPr fontId="3" type="noConversion"/>
  </si>
  <si>
    <t>⚪ 부점명의통장 반출/반납 및 인장관리 현황 조회용 화면(p108)
⚪ 조회조건 – 부서 : 부점별 또는 전체부서 조회 가능, 기준년월일
⚪ 부점별 보유중인 부점명의 통장 반출/반납 및 인장관리 현황을 준법지원 시스템정보와 연계하여 표시
⚪ 점검항목 상세보기를 팝업으로 구현 할지 아니면 점검항목별 메뉴로 별도 구현 할지 추후 정의하여 화면 기능 구현</t>
    <phoneticPr fontId="3" type="noConversion"/>
  </si>
  <si>
    <t>⚪ 부점명의통장 잔액통지등록 현황 조회용 화면(p109)
⚪ 조회조건 – 부서 : 부점별 또는 전체부서 조회 가능, 조회기준일 : 현재일자 고정
⚪ 부점별 보유중인 부점명의 통장 잔액통지등록 정보를 MyStar와 연계하여 표시
⚪ 점검항목 상세보기를 팝업으로 구현 할지 아니면 점검항목별 메뉴로 별도 구현 할지 추후 정의하여 화면 기능 구현)</t>
    <phoneticPr fontId="3" type="noConversion"/>
  </si>
  <si>
    <t>⚪ 정기적 점검사항 이행 점검표 현황 조회용 화면(p110)
⚪ 조회조건 – 부서 : 부점별 또는 전체부서 조회 가능, 조회기준일 : 현재일자 고정
⚪ 부서별 정기적 점검사항 이행 점검표 현황 표시 (준법지원시스템&gt;정기적점검사항&gt;조회&gt;점검사항이행점검표 화면과 동일)
⚪ 점검항목 상세보기를 팝업으로 구현 할지 아니면 점검항목별 메뉴로 별도 구현 할지 추후 정의하여 화면 기능 구현</t>
    <phoneticPr fontId="3" type="noConversion"/>
  </si>
  <si>
    <t>⚪ 부점교육 및 관리 현황 조회용 화면(p111)
⚪ 조회조건 – 부서 : 부점별 또는 전체부서 조회 가능, 조회기준일 : 현재일자 고정
⚪ 부서별 교육 및 관련 현황 표시 (한 화면에 1~12월 전체 표시)
⚪ 각 교육항목별 관련 시스템 대상으로 정보 연계
⚪ 점검항목 상세보기를 팝업으로 구현 할지 아니면 점검항목별 메뉴로 별도 구현 할지 추후 정의하여 화면 기능 구현</t>
    <phoneticPr fontId="3" type="noConversion"/>
  </si>
  <si>
    <t>⚪ 부점별 가수금 명세 조회용 화면)(p112)
⚪ 조회조건 – 부서 : 부점별 또는 전체부서 조회 가능, 기준년월일
⚪ 기준년월일 기간안에 발생한 가수금내역 조회가 아닌 기준일 현재 원장상태 정상인것만(미정리분) 조회되도록 변경
⚪ 점검항목 상세보기를 팝업으로 구현 할지 아니면 점검항목별 메뉴로 별도 구현 할지 추후 정의하여 화면 기능 구현</t>
    <phoneticPr fontId="3" type="noConversion"/>
  </si>
  <si>
    <t>⚪ 부점별 가지급금 명세 조회용 화면(p113)
⚪ 조회조건 – 부서 : 부점별 또는 전체부서 조회 가능, 기준년월일
⚪ 기준년월일 기간안에 발생한 가지급금내역 조회가 아닌 기준일 현재 원장상태 정상인것만(미정리분) 조회되도록 변경
⚪ 점검항목 상세보기를 팝업으로 구현 할지 아니면 점검항목별 메뉴로 별도 구현 할지 추후 정의하여 화면 기능 구현</t>
    <phoneticPr fontId="3" type="noConversion"/>
  </si>
  <si>
    <t>삭제</t>
    <phoneticPr fontId="29" type="noConversion"/>
  </si>
  <si>
    <t>⚪ 특별감사 과거 자료 조회의 (구)인사위원회 자료조회(2017년도이전) 메뉴와 (구)보고서검색 메뉴 통합은 데이터가  상이해서 메뉴통합은 불가하며 한화면에서 탭으로 구현 하여 제공(p152)
⚪ (국)인사위원회 조회 결과 목록에 감사보고서 다운로드 항목 추가하여 다운로드 가능한 기능 제공(단 (구)보고서검색에서 해당 계획년도의 해당 차추의 보고서가 등록되어 있을 경우 가능함)</t>
    <phoneticPr fontId="3" type="noConversion"/>
  </si>
  <si>
    <t>부서별 위험요인 현황 조회 (개별 부서에서 자가현황 파악 가능)</t>
    <phoneticPr fontId="3" type="noConversion"/>
  </si>
  <si>
    <t>⚪ 부서 수행업무 현황을 조회하고 업무내역을 관리하는 기능 제공. 개별 부서는 본인부서의 내용만 조회 가능 (감사부는 전체 조회)(p116)
⚪ 부서별 수행업무 현황은 개별부서 입력 결과를 토대로 화면에 표시
   - 항목 세부요건은 업무담당자 협의 후 확정 필요
⚪ 결재 상태값에 따라 수정/등록 가능여부 판단 (확정 후 수정불가)
⚪ 세부 업무 입력내용은 후속화면과 연계하여 정합성 유지
⚪ 업무 구분 클릭 시 수행업무 상세내역 화면으로 이동
⚪ 조회 결과 세부 항목은 감사부에서 정의 하여 전달 예정</t>
    <phoneticPr fontId="3" type="noConversion"/>
  </si>
  <si>
    <t>⚪ 부서별위험요인 현황을 조회할 수 있는 화면(개별 부서는 본인 부서내용만 확인 가능)(p115)
       -조회조건 : 기준년도, 부서
⚪ 부서별 위험요인/수행업무 현황을 목록화하여 표시. 각 내용은 개별부서에서 입력한 결과를 토대로 화면에 표시됨
⚪ 해당 화면은 감사정보시스템 감사부에서만 조회 가능 하게 구현(부점은 해당 화면 접근불가)
⚪ 조회 결과 세부 항목은 감사부에서 정의 하여 전달 예정</t>
    <phoneticPr fontId="3" type="noConversion"/>
  </si>
  <si>
    <t>⚪ 본부 위험요인 현황을 조회할 수 있는 화면(p114)
       -조회조건 : 기준년도, 부서별(본부)
⚪ 본부별 위험요인 현황을 목록화하여 표시. 각 내용은 개별부서에서 입력한 결과를 토대로 화면에 표시됨 
       - 항목 세부요건은 업무담당자 협의 후 확정 필요
⚪ 개별 항목 클릭시 링크로 부서 세부내역 조회 가능하도록 기능 제공
⚪ 해당 화면은 감사정보시스템 감사부에서만 조회 가능 하게 구현(부점은 해당 화면 접근불가)</t>
    <phoneticPr fontId="3" type="noConversion"/>
  </si>
  <si>
    <t>각 부서별 담당(운영)하는 시스템 및 관련 정보들을 조회/관리하여 감사준비 시 활용할 수 있도록 기능 제공</t>
    <phoneticPr fontId="3" type="noConversion"/>
  </si>
  <si>
    <t>⚪ 본부직원 위험이력 조회 삭제</t>
    <phoneticPr fontId="3" type="noConversion"/>
  </si>
  <si>
    <t>⚪ P.A.I로 반입하는 자료의 첨부파일 본문내용을 발췌하여 요약내용에 본문내용이 표시될 수 있도록 기능 추가(p156)
⚪ KB은행 RPA솔루션 활용 하여 본문내용 및 첨부파일의 내용을 텍스트로 입력 할 수 있는 기능 확인</t>
    <phoneticPr fontId="3" type="noConversion"/>
  </si>
  <si>
    <t>⚪ 감사정보지원&gt;정보관리&gt;일반 개선/정보사항관리&gt; 일반 개선/정보사항 등록메뉴에서 팀장 결재 시 출력되는 Pop-up 화면 문구 수정(문구는 현업 담당자가 협의 후 수정)(p159)</t>
    <phoneticPr fontId="3" type="noConversion"/>
  </si>
  <si>
    <t>⚪ 감사정보지원&gt;정보관리&gt;감사역정보관리&gt;인적사항등록 메뉴의 인적사항목록탭에 검색 조건에 ‘성명’ 조건 추가(p160)</t>
    <phoneticPr fontId="3" type="noConversion"/>
  </si>
  <si>
    <t>⚪ 내·외규관련 정보를 각 시스템에서 연계하여 조회 가능(p169~p171)
   - 그룹법령통지시스템/비즈플렛폼 인터페이스를 통해 외규명, 구분, 조치계획, 담당자정보, 등록일자 정보 등록
   - Wise-net연계하여 내규정보 등록 (신규 변경된 것만 가져옴)
⚪ 구분 첫 항목은 전체/내규/외규로 분류되며, 내규/외규 선택에 따라 구분값과 세부항목이 변경됨
⚪ 내/외규 구분에 따라 화면에 표시되는 정보가 달라지도록 기능 제공
⚪ 내/외규목록 관리의 GRC시스템 추가협의 필요</t>
    <phoneticPr fontId="3" type="noConversion"/>
  </si>
  <si>
    <t>⚪ 통합상시 점검시 긴급점검이 발생 한 경우 실시간으로 데이터 연계 또는 테이블 권한 부여 후 긴급점검 현황을 조회 할 수 있는 기능(p180)</t>
    <phoneticPr fontId="3" type="noConversion"/>
  </si>
  <si>
    <t>⚪ 클라우드 개발 관련 정보를 Jira와 연계하여 마트를 구성한 후 관련 내용을 화면에서 조회할 수 있도록 함(p162)
⚪ 화면 조회용 컬럼은 마트 구성컬럼 중 선택하여 변경가능</t>
    <phoneticPr fontId="3" type="noConversion"/>
  </si>
  <si>
    <t>⚪ 회계결산 내역을 경영정보시스템과 연계하여 마트를 구성한 후 관련 내용을 화면에서 조회할 수 있도록 함(p163)
⚪ 본 화면은 원천시스템인 경영정보시스템&gt;결산후재무제표 조회시 나오는 화면과 동일한 형식과 데이터가 동일하게 조회될 수 있도록 구성 
   (단 재무제표는 확정/공시 완료된 대상만 조회가능)</t>
    <phoneticPr fontId="3" type="noConversion"/>
  </si>
  <si>
    <t>⚪ IQMS등록 정보를 연계하여 마트를 구성한 후 관련 내용을 화면에서 조회할 수 있도록 함(p164)
⚪ 화면 조회용 컬럼은 마트 구성컬럼 중 선택하여 변경가능</t>
    <phoneticPr fontId="3" type="noConversion"/>
  </si>
  <si>
    <t>감사데이터 수집 및 활용 효율성 강화를 위한 감사마트 구축</t>
    <phoneticPr fontId="3" type="noConversion"/>
  </si>
  <si>
    <t xml:space="preserve">감사마트 사용자 분석환경 </t>
    <phoneticPr fontId="3" type="noConversion"/>
  </si>
  <si>
    <t>AI위험평가결과 부점위험조회</t>
    <phoneticPr fontId="3" type="noConversion"/>
  </si>
  <si>
    <t>AI위험평가결과 직원위험조회</t>
    <phoneticPr fontId="3" type="noConversion"/>
  </si>
  <si>
    <t>감사지적사항, 내규, 외규, 감독원 지적사항 사례 등 데이터 수집을 통해 Knowledge 접근 체계 구축 및 통합검색 기능 제공</t>
    <phoneticPr fontId="3" type="noConversion"/>
  </si>
  <si>
    <t>외부규제 변경 및 내부 규정(지침) 변경에 대한 일원화 된 내부통제 리스크 관리체계를 구축</t>
    <phoneticPr fontId="3" type="noConversion"/>
  </si>
  <si>
    <t>심의의결록 보고서 작성 및 출력 지원 기능</t>
    <phoneticPr fontId="3" type="noConversion"/>
  </si>
  <si>
    <t>본부부서 위험요인 관리 체계 구축</t>
  </si>
  <si>
    <t>본부부서 디지털 내부통제 구축</t>
    <phoneticPr fontId="3" type="noConversion"/>
  </si>
  <si>
    <t>⚪ 메뉴 통합이 불가하여 현행 유지(p86)</t>
    <phoneticPr fontId="3" type="noConversion"/>
  </si>
  <si>
    <t>감사대상 영업점 확정시 감사계획 및 감사역 배정 자동화</t>
    <phoneticPr fontId="3" type="noConversion"/>
  </si>
  <si>
    <t xml:space="preserve">Knowledge DB 통합검색 기능 </t>
    <phoneticPr fontId="3" type="noConversion"/>
  </si>
  <si>
    <t>감사결과 조치요구사항 이행 등록방법 개선</t>
    <phoneticPr fontId="3" type="noConversion"/>
  </si>
  <si>
    <t>후처리계 업무로그 실시간 수집</t>
    <phoneticPr fontId="3" type="noConversion"/>
  </si>
  <si>
    <t xml:space="preserve"> RAS위험지수 정교화·고도화</t>
    <phoneticPr fontId="3" type="noConversion"/>
  </si>
  <si>
    <t>AI 위험모델을 연계한 RAS위험지수의 정교화</t>
    <phoneticPr fontId="3" type="noConversion"/>
  </si>
  <si>
    <t>RAS신규항목(46개) 신설 및 기존항목 개선(상시감사 중복내용 통합 등)</t>
    <phoneticPr fontId="3" type="noConversion"/>
  </si>
  <si>
    <t>RAS전산평가 운영 확대 및 항목 신설</t>
    <phoneticPr fontId="3" type="noConversion"/>
  </si>
  <si>
    <t>C-RAS 정교화·분석기능 강화</t>
    <phoneticPr fontId="3" type="noConversion"/>
  </si>
  <si>
    <t>감사자료의 최신화·효율적 관리</t>
    <phoneticPr fontId="3" type="noConversion"/>
  </si>
  <si>
    <t>RAS, C-RAS 위험지수 고도화</t>
    <phoneticPr fontId="3" type="noConversion"/>
  </si>
  <si>
    <t>직원별 RAS 위험지수 모형 신설</t>
    <phoneticPr fontId="3" type="noConversion"/>
  </si>
  <si>
    <t>AI 위험모델을 연계한 모형 재구성</t>
    <phoneticPr fontId="3" type="noConversion"/>
  </si>
  <si>
    <t>이상거래(고위험 업무) 항목 신설 및 형태별 분석 기능</t>
    <phoneticPr fontId="3" type="noConversion"/>
  </si>
  <si>
    <t>부점별 감사자료 통합 검색기능 제공</t>
    <phoneticPr fontId="3" type="noConversion"/>
  </si>
  <si>
    <t>감사마트DB 활용한 위험·중점 항목의 자동신설 기능</t>
    <phoneticPr fontId="3" type="noConversion"/>
  </si>
  <si>
    <t>⚪ 부점정보 조회시 해당기간 PG장 정보 추가 (p42)</t>
    <phoneticPr fontId="3" type="noConversion"/>
  </si>
  <si>
    <t>⚪ AI위험평가결과 연계하여 해당 위험 지수를 참조 하는 형태로 구현</t>
    <phoneticPr fontId="3" type="noConversion"/>
  </si>
  <si>
    <t>⚪ RAS 모형 구성에 신규항목 4개 신설, 기존 감사자료 5개 를 추가하고 4개항목은 위험모형에서 제외 하여 위험모형 구축</t>
    <phoneticPr fontId="3" type="noConversion"/>
  </si>
  <si>
    <t>비기능</t>
    <phoneticPr fontId="3" type="noConversion"/>
  </si>
  <si>
    <t>⚪ RAS 위험모형을 참조하여 고위험 지점을 추출하여 감사계획 수립에 적극 반영</t>
    <phoneticPr fontId="3" type="noConversion"/>
  </si>
  <si>
    <t>⚪ C-RAS1 위험모형, C-RAS2 위험모형를 이용한 직원별C-RAS3 위험모형 생성(현재 기능 유지)</t>
    <phoneticPr fontId="3" type="noConversion"/>
  </si>
  <si>
    <t>⚪ C-RAS 위험모형과 AI위험평가결과 모형을 연계하여 해당 신규 위험모형을 생성하지 않고 AI위험평결과를 참조 하는 형태로 구현</t>
    <phoneticPr fontId="3" type="noConversion"/>
  </si>
  <si>
    <t>⚪ 감사자료 신규 37개 신설하여 감사자료의 확대로 이상거래(고위험 업무) 분석 기능 제공</t>
    <phoneticPr fontId="3" type="noConversion"/>
  </si>
  <si>
    <t xml:space="preserve">⚪ 감사자료 신규 37개도 부점별 검색 대상에 포함 되도록  기능 제공 </t>
    <phoneticPr fontId="3" type="noConversion"/>
  </si>
  <si>
    <t>⚪ 감사마트DB 활용한 위험·중점 항목의 자동신설 기능</t>
    <phoneticPr fontId="3" type="noConversion"/>
  </si>
  <si>
    <t>기능</t>
    <phoneticPr fontId="3" type="noConversion"/>
  </si>
  <si>
    <t>감사계획 수립 자동화</t>
    <phoneticPr fontId="3" type="noConversion"/>
  </si>
  <si>
    <t>영업점 감사자료 포탈</t>
    <phoneticPr fontId="3" type="noConversion"/>
  </si>
  <si>
    <t>감사계획 수립 자동화</t>
    <phoneticPr fontId="3" type="noConversion"/>
  </si>
  <si>
    <t>기업여신 현황 관련 기능 개선</t>
    <phoneticPr fontId="3" type="noConversion"/>
  </si>
  <si>
    <t>기업여신 현황 관련 기능 개선</t>
    <phoneticPr fontId="3" type="noConversion"/>
  </si>
  <si>
    <t>직원 RAS위험평가 결과 조회 및 세부내역 확인</t>
    <phoneticPr fontId="3" type="noConversion"/>
  </si>
  <si>
    <t>감사 완료 후 감사결과 및 지적사항을 간략하게 기재</t>
    <phoneticPr fontId="3" type="noConversion"/>
  </si>
  <si>
    <t>감사 완료 후 해당 영업점의 종합감사 결과 및 점검현황, 강평 등의 내용을 보고서 형태로 제공</t>
    <phoneticPr fontId="3" type="noConversion"/>
  </si>
  <si>
    <t>영업점 현황과 위험수준 등을 종합적으로 제공</t>
    <phoneticPr fontId="3" type="noConversion"/>
  </si>
  <si>
    <t>기타</t>
    <phoneticPr fontId="3" type="noConversion"/>
  </si>
  <si>
    <t>디지털 내부통제 점검기능 강화</t>
    <phoneticPr fontId="3" type="noConversion"/>
  </si>
  <si>
    <t>감사절차 준수 기능 강화</t>
    <phoneticPr fontId="3" type="noConversion"/>
  </si>
  <si>
    <t>감사결과보고서 관리체계개선</t>
    <phoneticPr fontId="3" type="noConversion"/>
  </si>
  <si>
    <t>감사자료 추출 편의 강화</t>
    <phoneticPr fontId="3" type="noConversion"/>
  </si>
  <si>
    <t>현행 부서별 감사결과 조치요구사항에 대하여 기한내 조치토록 하고, 조치결과는 "감사결과 조치요구사항 정리보고서" 작성(부서장 서명) 후 증빙자료와 함께 감사정보시스템에 등록</t>
    <phoneticPr fontId="3" type="noConversion"/>
  </si>
  <si>
    <t>감사정보시스템 조치결과 등록 시 부점장 전자결재 프로세스 구축을 통하여 "감사결과 조치요구사항 정리보고서" 수기작성 절차 생략</t>
    <phoneticPr fontId="3" type="noConversion"/>
  </si>
  <si>
    <t>감사결과 조치요구사항 정리보고서 수기작성 절차</t>
    <phoneticPr fontId="3" type="noConversion"/>
  </si>
  <si>
    <t>지적사항 정리 관련 부서제출 자료의 일괄 추출 기능 제공</t>
    <phoneticPr fontId="3" type="noConversion"/>
  </si>
  <si>
    <t>감사보고서 등 감사종료시 등재 자료에 대한 일괄 다운로드 기능 제공</t>
    <phoneticPr fontId="3" type="noConversion"/>
  </si>
  <si>
    <t>⚪ 본부감사&gt;감사결과&gt;지적사항관리&gt;감사별조회 메뉴 유지(부서별조회, 감사역별조회 메뉴는 삭제)(P76)
⚪ 본부감사&gt;감사결과&gt;지적사항관리&gt;지적사항 명세 화면에 (조치상태, 감사역, 부서조회, 지적사항 제목, 팀구분, 감사구분, Keyword조회/검색어)
   검색조건 추가</t>
    <phoneticPr fontId="3" type="noConversion"/>
  </si>
  <si>
    <t>감사결과 검색기능 강화</t>
    <phoneticPr fontId="3" type="noConversion"/>
  </si>
  <si>
    <t>대시보드</t>
    <phoneticPr fontId="3" type="noConversion"/>
  </si>
  <si>
    <t>⚪ 심의의뢰 등록시 지적사항추가 버튼 클릭 시 지적사항 목록 팝업이 나타난며 특정 지적사항을 선택 했을 경우 지적사항 내용이 심의사항 내용 항목에 자동으로 입력되는 기능 제공(p78)</t>
    <phoneticPr fontId="3" type="noConversion"/>
  </si>
  <si>
    <t>점검기능 강화</t>
    <phoneticPr fontId="3" type="noConversion"/>
  </si>
  <si>
    <t>본부/글로벌 Rule분석 / 관리</t>
    <phoneticPr fontId="3" type="noConversion"/>
  </si>
  <si>
    <t>본부 및 글로벌 상시점검항목 Rule분석</t>
    <phoneticPr fontId="3" type="noConversion"/>
  </si>
  <si>
    <t>본부/글로벌 상시점검</t>
    <phoneticPr fontId="3" type="noConversion"/>
  </si>
  <si>
    <t>⚪ 본부상시 10개 항목 신규 개발
⚪ 기존 28개 항목관련 본부상시 점검항목별 Rule 세분화 작업 취소</t>
    <phoneticPr fontId="3" type="noConversion"/>
  </si>
  <si>
    <t>본부상시</t>
    <phoneticPr fontId="3" type="noConversion"/>
  </si>
  <si>
    <t>점검 보고서 제공 (레포팅 툴 활용)</t>
    <phoneticPr fontId="3" type="noConversion"/>
  </si>
  <si>
    <t>상시지적사항 관련 현황 보고서 조회</t>
    <phoneticPr fontId="3" type="noConversion"/>
  </si>
  <si>
    <t>메시지 전송기능 강화</t>
    <phoneticPr fontId="3" type="noConversion"/>
  </si>
  <si>
    <t>점검결과 조회기능 개선</t>
  </si>
  <si>
    <t>점검결과 등록기능 개선</t>
  </si>
  <si>
    <t>업무기능 개선</t>
  </si>
  <si>
    <t>연계 데이터 입수</t>
    <phoneticPr fontId="3" type="noConversion"/>
  </si>
  <si>
    <t>ㅇ 후처리 로그가 15개로 분리되어 있어 15개 프로세스 또는 스레드로 병렬 처리</t>
    <phoneticPr fontId="3" type="noConversion"/>
  </si>
  <si>
    <t xml:space="preserve">국외점포 거래로그 수집 </t>
    <phoneticPr fontId="3" type="noConversion"/>
  </si>
  <si>
    <t>ㅇ대상 : 3개 ROC - 뉴욕, 오세아니아 센터, 여의도 국외업무서버
ㅇ JDBC로 직접 데이터에 접근하여 수집</t>
    <phoneticPr fontId="3" type="noConversion"/>
  </si>
  <si>
    <t>본부/글로벌 상시감사 및 RAS분석을 위한 기반자료</t>
    <phoneticPr fontId="3" type="noConversion"/>
  </si>
  <si>
    <t>ㅇ 상품처리계, EDW, 정보계, 기타 독립시스템
ㅇ RULE요건에 따라 수집 대상은 추가될 수 있음</t>
    <phoneticPr fontId="3" type="noConversion"/>
  </si>
  <si>
    <t>공통</t>
    <phoneticPr fontId="3" type="noConversion"/>
  </si>
  <si>
    <t>대시보드 개발</t>
    <phoneticPr fontId="3" type="noConversion"/>
  </si>
  <si>
    <t>지역별, 영업점별 전반적인 위험 수준을 파악할 수 있도록 감사/진행 현황 시각화</t>
    <phoneticPr fontId="3" type="noConversion"/>
  </si>
  <si>
    <t>업무 수행 및 평가 관련 현황 대시보드 개발</t>
    <phoneticPr fontId="3" type="noConversion"/>
  </si>
  <si>
    <t>진행중 감사, 연간 지적사항 및 이행관리 현황, 감사관련 평가 제공</t>
    <phoneticPr fontId="3" type="noConversion"/>
  </si>
  <si>
    <t>ㅇ 영업감사, 본부감사 및 심의조서에게 기능 제공</t>
    <phoneticPr fontId="3" type="noConversion"/>
  </si>
  <si>
    <t>감사마트 구축</t>
  </si>
  <si>
    <t>감사마트 구축</t>
    <phoneticPr fontId="3" type="noConversion"/>
  </si>
  <si>
    <t>심의/조사</t>
    <phoneticPr fontId="3" type="noConversion"/>
  </si>
  <si>
    <t>GRC체계 고도화</t>
    <phoneticPr fontId="3" type="noConversion"/>
  </si>
  <si>
    <t>요구사항정의</t>
    <phoneticPr fontId="3" type="noConversion"/>
  </si>
  <si>
    <t>⚪ Wise-Net 전자결재 완료 문서(감사관련)와 부서별(본부, 영업점 전체) 열람률을 연계하여 조회기능 제공 / 조회조건 입력시 
     조건값에 맞는 정보만 화면에 출력(P168)
⚪ 조회결과는 전행기준으로 1차 표시되며, 각 문서 클릭시 문서별 세부내역(부서별) 조회 가능
⚪ 완료일자 기준 3영업일 이후 열람률 100% 미달 부서들은 완료일자 기준 3영업일까지 각 부서에 workB 쪽지로 문서독려알림 
    전송(알림전송대상 : 부점장, 내부통제책임자, 미열람직원 본인)
⚪ 감사문서열람률관리의 열람율, 통보문서 상세보기 링크, 통보문서 열람 부서목록, 읽음여부 등 Wise-Net과 협의 하여 구현 가능
    여부 확인 필요</t>
    <phoneticPr fontId="3" type="noConversion"/>
  </si>
  <si>
    <t xml:space="preserve">Knowledge DB
구축 및 검색
</t>
    <phoneticPr fontId="3" type="noConversion"/>
  </si>
  <si>
    <t>시스템연계</t>
    <phoneticPr fontId="3" type="noConversion"/>
  </si>
  <si>
    <t>준법지원시스템과 데이터 연계 및 공유</t>
    <phoneticPr fontId="3" type="noConversion"/>
  </si>
  <si>
    <t>⚪ 디지털 내부통제 점검기능 강화 업무 구축을 위한 준법지원시스템과의 데이터 연계</t>
    <phoneticPr fontId="3" type="noConversion"/>
  </si>
  <si>
    <t>권한관리 기능 강화</t>
    <phoneticPr fontId="3" type="noConversion"/>
  </si>
  <si>
    <t>사용자 그룹별 권한 관리 기능 적용</t>
    <phoneticPr fontId="3" type="noConversion"/>
  </si>
  <si>
    <t>배치JOB 관리 개선</t>
    <phoneticPr fontId="3" type="noConversion"/>
  </si>
  <si>
    <t>배치JOB 관리</t>
    <phoneticPr fontId="3" type="noConversion"/>
  </si>
  <si>
    <t>⚪ 사용자 그룹관리, 그룹별 사용자 관리기능 제공
⚪ 사용자 그룹별 접근 가능 메뉴/기능 관리
ㅇ 문서 암호화 Solution 도입 및 접근 제어 기능</t>
    <phoneticPr fontId="3" type="noConversion"/>
  </si>
  <si>
    <t>⚪ 배치JOB 스케줄링
⚪ 배치 수행 현황 모니터링
⚪ 배치 재 수행 즉시 실행 방안 구현</t>
    <phoneticPr fontId="3" type="noConversion"/>
  </si>
  <si>
    <t>변경관리 강화</t>
    <phoneticPr fontId="3" type="noConversion"/>
  </si>
  <si>
    <t>⚪ 본 시스템의 프로그램 및 기능 변경 요청, 승인, 개발, 테스트, 테스트결과 등록, 적용 등을 관리하는 기능을 적절한 내부통제를 
   통하여 제공
⚪ 배포 프로그램 목록 자동 입력 기능 제공</t>
    <phoneticPr fontId="3" type="noConversion"/>
  </si>
  <si>
    <t>로그관리</t>
    <phoneticPr fontId="3" type="noConversion"/>
  </si>
  <si>
    <t xml:space="preserve">접속 및 활용 로그 관리 기능 필요 </t>
    <phoneticPr fontId="3" type="noConversion"/>
  </si>
  <si>
    <t>⚪ 로그 활용 할 수 있는 화면 구현(현재 일부 업무 적재 중(RAS, 상시점검)
⚪ 상시모니터링 점검 시간을 각 시나리오(지표)별, 감사역별, 업무별로 구분할 수 있도록 로그 관리</t>
    <phoneticPr fontId="3" type="noConversion"/>
  </si>
  <si>
    <t>⚪ 위험평가항목 주기적으로 위험수준(RAS) 평가 후 결과를 업데이트 하여 표시 (p47)
⚪ 최초 1회 연간 평가결과를 기준으로 감사계획 자동 등록. 이후 업무 담당자 수정 시 변경가능
⚪ 감사계획 등록 내역 중 수정이 필요한 대상은 선택 후 직접 수정 가능 (Ex.최근 위험평가 결과 고위험으로 분류된 대상 수정)
⚪ 변경사항 존재 시 등록버튼 클릭하여 내용 반영 (등록 확정 시 ‘감사계획 등록’ 화면과 연계되어 후속 프로세스 수행)
⚪ AI부점위험평가 모델 결과를 반영하여 위험부점여부, 평가점수, 순위, 위험구분 항목 표시
   (AI부점위험평가결과 세부내역 협의 후 제공 여부)
⚪ 위험부점여부 클릭시 AI부점위험평가결과의 부점위험 세부항목 조회 팝업 기능 제공
   (AI부점위험평가결과 세부내역 협의 후 제공 여부)</t>
    <phoneticPr fontId="3" type="noConversion"/>
  </si>
  <si>
    <t>신규</t>
    <phoneticPr fontId="3" type="noConversion"/>
  </si>
  <si>
    <t>Biz-0001</t>
    <phoneticPr fontId="3" type="noConversion"/>
  </si>
  <si>
    <t>Biz-0002</t>
    <phoneticPr fontId="3" type="noConversion"/>
  </si>
  <si>
    <t>Biz-0003</t>
    <phoneticPr fontId="3" type="noConversion"/>
  </si>
  <si>
    <t>Biz-0004</t>
    <phoneticPr fontId="3" type="noConversion"/>
  </si>
  <si>
    <t>Biz-0005</t>
    <phoneticPr fontId="3" type="noConversion"/>
  </si>
  <si>
    <t>Biz-0006</t>
    <phoneticPr fontId="3" type="noConversion"/>
  </si>
  <si>
    <t>⚪ 본부부서 감사 계획 수립 시 참고를 위한 소관부서별 업무시스템을 관리하는 기능 제공(p118)
   - 조회조건 : 조회부서, 사업그룹/부서(개별 또는 그룹단위 조회 가능-첫번째 셀렉트박스에는 그룹단위, 두번째 셀렉트박스는
      부서단위로 구현), 시스템명, 관련감사
⚪ 부서별 관련 시스템 현황을 목록화하여 표시. 각 내용은 담당자가 직접 입력/관리하도록 함
⚪ 등록버튼 클릭시 부서별 담당시스템 및 추가정보 입력할 수 있도록 하며, 본 내용은 누구나(본부감사 감사역) 수정 가능
⚪ 본 화면에 입력된 정보를 토대로 감사회차 등록 및 감사원 배정 완료시 자동으로 관련시스템 권한부여 시행문이 작성되는 기능은 
   추후 과제로 진행예정:내용 제외
⚪ 출력항목 No, 부서, 담당시스템, 권한(세부항목) 항목 만 조회되고 신청사유, 관련감사 및 최근수정일자 항목은 제외</t>
    <phoneticPr fontId="3" type="noConversion"/>
  </si>
  <si>
    <t>⚪ 일상감사 대상에 대해 개별 부서에서 사전협의 안을 등록하고 감사부에서 관리하는 기능 제공
⚪ 일상감사 사전협의 등록 시 시행(예정)일 항목 추가 (날자는 사용자 선택)(P128)
⚪ 파일업로드 용량 현재 200MB이나 추가 가능 여부 IT와 협의 후 결정(P129)
⚪ 비고 입력 항목 추가(감사역 만 작성 및 조회 가능) (P130)
⚪ 분류 입력시 항목 결과에서 조회 가능 여부 확인(wise-net) (P130)</t>
    <phoneticPr fontId="3" type="noConversion"/>
  </si>
  <si>
    <t>심의/조사</t>
  </si>
  <si>
    <t>⚪ 본 화면의 검색조건 및 조회결과 출력시 표시되는 컬럼정보를 ‘지적사항 심의관리’ 화면과 동일한 레이아웃으로 변경(p140)
⚪ 본부감사 심의/조사 프로세스를  영업점 심의/조사와 동일한 프로세스로 구현
⚪ 본부감사에 문의하여 결정 후 고지훈 감사역에 검토의견</t>
    <phoneticPr fontId="3" type="noConversion"/>
  </si>
  <si>
    <t>추진과제별 실적 등록</t>
    <phoneticPr fontId="3" type="noConversion"/>
  </si>
  <si>
    <t>20241113_감사정보시스템 고도화 및 클라우드 전환 구축_영업감사_2.docx</t>
  </si>
  <si>
    <t>20241113_감사정보시스템 고도화 및 클라우드 전환 구축_영업감사_2.docx</t>
    <phoneticPr fontId="3" type="noConversion"/>
  </si>
  <si>
    <t>⚪ 수신계좌정보 관련 정보를 연계하여 마트를 구성한 후 관련 내용을 화면에서 조회할 수 있도록 함</t>
    <phoneticPr fontId="3" type="noConversion"/>
  </si>
  <si>
    <t>본부 감사결과에 따른 지적현황 조회 및 관리</t>
    <phoneticPr fontId="3" type="noConversion"/>
  </si>
  <si>
    <t>⚪ 상시점검내역(부점.항목)조회 에서 계정거래유형, 취급자 검색조건 추가및 거래일자, 대상부점을 조회 기본값으로 한다(p28)
 - 취급자를 입력하지 않은경우 대상부점의 모든 취급자를 표시한다
 - 취급자를 입력한경우 대상부점 해당 취급자의 정보만 표기된다</t>
    <phoneticPr fontId="3" type="noConversion"/>
  </si>
  <si>
    <t>⚪ 점검결과 내용 조회 신규에 보고서 출력 기능은 불 필요 (페이지 없음 - p31)</t>
    <phoneticPr fontId="3" type="noConversion"/>
  </si>
  <si>
    <t>Biz-0007</t>
    <phoneticPr fontId="3" type="noConversion"/>
  </si>
  <si>
    <t>Biz-0008</t>
    <phoneticPr fontId="3" type="noConversion"/>
  </si>
  <si>
    <t>Biz-0009</t>
    <phoneticPr fontId="3" type="noConversion"/>
  </si>
  <si>
    <t>Biz-0010</t>
    <phoneticPr fontId="3" type="noConversion"/>
  </si>
  <si>
    <t>영업감사 기타</t>
  </si>
  <si>
    <t>영업감사 기타</t>
    <phoneticPr fontId="3" type="noConversion"/>
  </si>
  <si>
    <t>Biz-0011</t>
    <phoneticPr fontId="3" type="noConversion"/>
  </si>
  <si>
    <t>Biz-0012</t>
    <phoneticPr fontId="3" type="noConversion"/>
  </si>
  <si>
    <t>Biz-0013</t>
    <phoneticPr fontId="3" type="noConversion"/>
  </si>
  <si>
    <t>Biz-0014</t>
    <phoneticPr fontId="3" type="noConversion"/>
  </si>
  <si>
    <t>Biz-0015</t>
    <phoneticPr fontId="3" type="noConversion"/>
  </si>
  <si>
    <t>Biz-0016</t>
    <phoneticPr fontId="3" type="noConversion"/>
  </si>
  <si>
    <t>Biz-0017</t>
    <phoneticPr fontId="3" type="noConversion"/>
  </si>
  <si>
    <t>Biz-0018</t>
    <phoneticPr fontId="3" type="noConversion"/>
  </si>
  <si>
    <t>Biz-0019</t>
    <phoneticPr fontId="3" type="noConversion"/>
  </si>
  <si>
    <t>Biz-0020</t>
    <phoneticPr fontId="3" type="noConversion"/>
  </si>
  <si>
    <t>본부감사기타</t>
    <phoneticPr fontId="3" type="noConversion"/>
  </si>
  <si>
    <t>기타</t>
    <phoneticPr fontId="3" type="noConversion"/>
  </si>
  <si>
    <t>Biz-0022</t>
    <phoneticPr fontId="3" type="noConversion"/>
  </si>
  <si>
    <t>Biz-0024</t>
    <phoneticPr fontId="3" type="noConversion"/>
  </si>
  <si>
    <t>Biz-0023</t>
    <phoneticPr fontId="3" type="noConversion"/>
  </si>
  <si>
    <t>Biz-0025</t>
    <phoneticPr fontId="3" type="noConversion"/>
  </si>
  <si>
    <t>Biz-0026</t>
    <phoneticPr fontId="3" type="noConversion"/>
  </si>
  <si>
    <t>Biz-0027</t>
    <phoneticPr fontId="3" type="noConversion"/>
  </si>
  <si>
    <t>Biz-0028</t>
    <phoneticPr fontId="3" type="noConversion"/>
  </si>
  <si>
    <t>Biz-0029</t>
    <phoneticPr fontId="3" type="noConversion"/>
  </si>
  <si>
    <t>Biz-0030</t>
    <phoneticPr fontId="3" type="noConversion"/>
  </si>
  <si>
    <t>Biz-0031</t>
    <phoneticPr fontId="3" type="noConversion"/>
  </si>
  <si>
    <t>Biz-0032</t>
    <phoneticPr fontId="3" type="noConversion"/>
  </si>
  <si>
    <t>Biz-0033</t>
    <phoneticPr fontId="3" type="noConversion"/>
  </si>
  <si>
    <t>Biz-0034</t>
    <phoneticPr fontId="3" type="noConversion"/>
  </si>
  <si>
    <t>Biz-0035</t>
    <phoneticPr fontId="3" type="noConversion"/>
  </si>
  <si>
    <t>Biz-0036</t>
    <phoneticPr fontId="3" type="noConversion"/>
  </si>
  <si>
    <t>Biz-0037</t>
    <phoneticPr fontId="3" type="noConversion"/>
  </si>
  <si>
    <t>Biz-0038</t>
    <phoneticPr fontId="3" type="noConversion"/>
  </si>
  <si>
    <t>Biz-0039</t>
    <phoneticPr fontId="3" type="noConversion"/>
  </si>
  <si>
    <t>Biz-0040</t>
    <phoneticPr fontId="3" type="noConversion"/>
  </si>
  <si>
    <t>Biz-0041</t>
    <phoneticPr fontId="3" type="noConversion"/>
  </si>
  <si>
    <t>Biz-0042</t>
    <phoneticPr fontId="3" type="noConversion"/>
  </si>
  <si>
    <t>⚪ 결재감사 관련 화면 데이터를 Wise-Net과 연계하여 마트를 구성하고, 관련 내용을 화면에서 조회할 수 있도록 함(p165)
⚪ 업무구분 : 결재완료문서, 최근수신문서, 대외접수문서, 대외발송문서 총 4개로 구분되며 각 마트정의 테이블에 맞춰 화면내 조회컬럼 생성
   (Ex. 결재완료문서 &gt; 최근수신문서 변경 시 하단 조회 컬럼(③) 항목들도 요건에 맞춰 동적변동</t>
    <phoneticPr fontId="3" type="noConversion"/>
  </si>
  <si>
    <t>⚪ IT물품계약 관련 정보를 연계하여 마트를 구성하고, 관련 내용을 화면에서 조회할 수 있도록 함(p166)
⚪ 마트구성 관련 세부내용은 별첨자료(감사마트) 참조하되 조회화면의 기본 데이터 레이아웃은 ‘구매관리시스템-담당IT계약조회’ 화면에서 
   표시되는 전체 항목들을 본화면에서 선별하여 볼 수 있도록 개발</t>
    <phoneticPr fontId="3" type="noConversion"/>
  </si>
  <si>
    <t>⚪ 감사마트에 적재된 데이터를 화면에서 직접 조회할 수 있도록 기능 제공 -&gt; 화면에서 직접 SQL 쿼리 실행 및 결과 조회 가능(페이지)
⚪ KB금융그룹 전산시스템 운용 방침에 따라서 기능 제공 여부 결정</t>
    <phoneticPr fontId="3" type="noConversion"/>
  </si>
  <si>
    <t>⚪ 테이블 정보, 컬럼정보, 테이블 정의 및 테이블의 원천정보를 관리 할 수 있는 기능 제공
⚪ 해당 테이블의 예제 SQL을 저장 할 수 있는 기능 제공
⚪ 첨부파일로 업로드 기능</t>
    <phoneticPr fontId="3" type="noConversion"/>
  </si>
  <si>
    <t>감사지원 기타</t>
    <phoneticPr fontId="3" type="noConversion"/>
  </si>
  <si>
    <t>Biz-0043</t>
    <phoneticPr fontId="3" type="noConversion"/>
  </si>
  <si>
    <t>Biz-0044</t>
    <phoneticPr fontId="3" type="noConversion"/>
  </si>
  <si>
    <t>Biz-0045</t>
    <phoneticPr fontId="3" type="noConversion"/>
  </si>
  <si>
    <t>Biz-0046</t>
    <phoneticPr fontId="3" type="noConversion"/>
  </si>
  <si>
    <t>Biz-0047</t>
    <phoneticPr fontId="3" type="noConversion"/>
  </si>
  <si>
    <t>Biz-0048</t>
    <phoneticPr fontId="3" type="noConversion"/>
  </si>
  <si>
    <t>Biz-0049</t>
    <phoneticPr fontId="3" type="noConversion"/>
  </si>
  <si>
    <t>Biz-0050</t>
    <phoneticPr fontId="3" type="noConversion"/>
  </si>
  <si>
    <t>Biz-0051</t>
    <phoneticPr fontId="3" type="noConversion"/>
  </si>
  <si>
    <t>Biz-0052</t>
    <phoneticPr fontId="3" type="noConversion"/>
  </si>
  <si>
    <t>Biz-0053</t>
    <phoneticPr fontId="3" type="noConversion"/>
  </si>
  <si>
    <t>Biz-0054</t>
    <phoneticPr fontId="3" type="noConversion"/>
  </si>
  <si>
    <t>Biz-0055</t>
    <phoneticPr fontId="3" type="noConversion"/>
  </si>
  <si>
    <t>MDD-00001</t>
    <phoneticPr fontId="3" type="noConversion"/>
  </si>
  <si>
    <t>MDD-00002</t>
    <phoneticPr fontId="3" type="noConversion"/>
  </si>
  <si>
    <t>MDD-00003</t>
  </si>
  <si>
    <t>MDD-00004</t>
  </si>
  <si>
    <t>MDD-00005</t>
  </si>
  <si>
    <t>MDD-00006</t>
  </si>
  <si>
    <t>MDD-00007</t>
  </si>
  <si>
    <t>MDD-00008</t>
  </si>
  <si>
    <t>MDD-00009</t>
  </si>
  <si>
    <t>MDD-00010</t>
  </si>
  <si>
    <t>MDD-00011</t>
  </si>
  <si>
    <t>MDD-00012</t>
  </si>
  <si>
    <t>MDD-00013</t>
  </si>
  <si>
    <t>MDD-00015</t>
  </si>
  <si>
    <t>MDD-00016</t>
  </si>
  <si>
    <t>MDD-00017</t>
  </si>
  <si>
    <t>MDD-00018</t>
  </si>
  <si>
    <t>MDD-00019</t>
  </si>
  <si>
    <t>MDD-00022</t>
  </si>
  <si>
    <t>MDD-00023</t>
  </si>
  <si>
    <t>MDD-00024</t>
  </si>
  <si>
    <t>MDD-00025</t>
  </si>
  <si>
    <t>MDD-00026</t>
  </si>
  <si>
    <t>MDD-00027</t>
  </si>
  <si>
    <t>MDD-00028</t>
  </si>
  <si>
    <t>MDD-00029</t>
  </si>
  <si>
    <t>MDD-00030</t>
  </si>
  <si>
    <t>MDD-00031</t>
  </si>
  <si>
    <t>MDD-00032</t>
  </si>
  <si>
    <t>MDD-00033</t>
  </si>
  <si>
    <t>MDD-00034</t>
  </si>
  <si>
    <t>MDD-00035</t>
  </si>
  <si>
    <t>MDD-00036</t>
  </si>
  <si>
    <t>MDD-00037</t>
  </si>
  <si>
    <t>MDD-00038</t>
  </si>
  <si>
    <t>MDD-00039</t>
  </si>
  <si>
    <t>MDD-00040</t>
  </si>
  <si>
    <t>MDD-00041</t>
  </si>
  <si>
    <t>MDD-00042</t>
  </si>
  <si>
    <t>MDD-00043</t>
  </si>
  <si>
    <t>MDD-00044</t>
  </si>
  <si>
    <t>MDD-00045</t>
  </si>
  <si>
    <t>MDD-00046</t>
  </si>
  <si>
    <t>MDD-00047</t>
  </si>
  <si>
    <t>MDD-00048</t>
  </si>
  <si>
    <t>MDD-00049</t>
  </si>
  <si>
    <t>MDD-00050</t>
  </si>
  <si>
    <t>MDD-00051</t>
  </si>
  <si>
    <t>MDD-00052</t>
  </si>
  <si>
    <t>MDD-00053</t>
  </si>
  <si>
    <t>MDD-00054</t>
  </si>
  <si>
    <t>MDD-00055</t>
  </si>
  <si>
    <t>MDD-00056</t>
  </si>
  <si>
    <t>MDD-00057</t>
  </si>
  <si>
    <t>MDD-00058</t>
  </si>
  <si>
    <t>MDD-00059</t>
  </si>
  <si>
    <t>MDD-00060</t>
  </si>
  <si>
    <t>MDD-00061</t>
  </si>
  <si>
    <t>MDD-00062</t>
  </si>
  <si>
    <t>MDD-00063</t>
  </si>
  <si>
    <t>MDD-00064</t>
  </si>
  <si>
    <t>MDD-00065</t>
  </si>
  <si>
    <t>MDD-00066</t>
  </si>
  <si>
    <t>MDD-00067</t>
  </si>
  <si>
    <t>MDD-00068</t>
  </si>
  <si>
    <t>MDD-00069</t>
  </si>
  <si>
    <t>MDD-00070</t>
  </si>
  <si>
    <t>MDD-00071</t>
  </si>
  <si>
    <t>MDD-00072</t>
  </si>
  <si>
    <t>MDD-00073</t>
  </si>
  <si>
    <t>MDD-00074</t>
  </si>
  <si>
    <t>MDD-00076</t>
  </si>
  <si>
    <t>MDD-00077</t>
  </si>
  <si>
    <t>MDD-00078</t>
  </si>
  <si>
    <t>MDD-00079</t>
  </si>
  <si>
    <t>MDD-00080</t>
  </si>
  <si>
    <t>MDD-00081</t>
  </si>
  <si>
    <t>MDD-00082</t>
  </si>
  <si>
    <t>MDD-00083</t>
  </si>
  <si>
    <t>MDD-00084</t>
  </si>
  <si>
    <t>MDD-00085</t>
  </si>
  <si>
    <t>MDD-00086</t>
  </si>
  <si>
    <t>MDD-00087</t>
  </si>
  <si>
    <t>MDD-00088</t>
  </si>
  <si>
    <t>MDD-00089</t>
  </si>
  <si>
    <t>MDD-00090</t>
  </si>
  <si>
    <t>MDD-00091</t>
  </si>
  <si>
    <t>MDD-00092</t>
  </si>
  <si>
    <t>MDD-00093</t>
  </si>
  <si>
    <t>MDD-00094</t>
  </si>
  <si>
    <t>MDD-00095</t>
  </si>
  <si>
    <t>MDD-00096</t>
  </si>
  <si>
    <t>MDD-00097</t>
  </si>
  <si>
    <t>MDD-00098</t>
  </si>
  <si>
    <t>MDD-00099</t>
  </si>
  <si>
    <t>MDD-00100</t>
  </si>
  <si>
    <t>MDD-00101</t>
  </si>
  <si>
    <t>MDD-00102</t>
  </si>
  <si>
    <t>MDD-00103</t>
  </si>
  <si>
    <t>MDD-00104</t>
  </si>
  <si>
    <t>MDD-00105</t>
  </si>
  <si>
    <t>MDD-00106</t>
  </si>
  <si>
    <t>MDD-00107</t>
  </si>
  <si>
    <t>MDD-00109</t>
  </si>
  <si>
    <t>MDD-00110</t>
  </si>
  <si>
    <t>MDD-00111</t>
  </si>
  <si>
    <t>MDD-00112</t>
  </si>
  <si>
    <t>MDD-00113</t>
  </si>
  <si>
    <t>MDD-00114</t>
  </si>
  <si>
    <t>MDD-00115</t>
  </si>
  <si>
    <t>MDD-00116</t>
  </si>
  <si>
    <t>MDD-00117</t>
  </si>
  <si>
    <t>MDD-00118</t>
  </si>
  <si>
    <t>MDD-00119</t>
  </si>
  <si>
    <t>MDD-00120</t>
  </si>
  <si>
    <t>MDD-00121</t>
  </si>
  <si>
    <t>MDD-00122</t>
  </si>
  <si>
    <t>MDD-00123</t>
  </si>
  <si>
    <t>MDD-00124</t>
  </si>
  <si>
    <t>MDD-00125</t>
  </si>
  <si>
    <t>MDD-00126</t>
  </si>
  <si>
    <t>MDD-00127</t>
  </si>
  <si>
    <t>MDD-00128</t>
  </si>
  <si>
    <t>MDD-00129</t>
  </si>
  <si>
    <t>MDD-00130</t>
  </si>
  <si>
    <t>MDD-00131</t>
  </si>
  <si>
    <t>MDD-00132</t>
  </si>
  <si>
    <t>MDD-00133</t>
  </si>
  <si>
    <t>MDD-00134</t>
  </si>
  <si>
    <t>MDD-00135</t>
  </si>
  <si>
    <t>MDD-00136</t>
  </si>
  <si>
    <t>MDD-00137</t>
  </si>
  <si>
    <t>MDD-00138</t>
  </si>
  <si>
    <t>MDD-00139</t>
  </si>
  <si>
    <t>MDD-00140</t>
  </si>
  <si>
    <t>MDD-00141</t>
  </si>
  <si>
    <t>감사부(본점감사)</t>
  </si>
  <si>
    <t>감사부(본점감사)</t>
    <phoneticPr fontId="3" type="noConversion"/>
  </si>
  <si>
    <t>감사부(디지털감사)</t>
  </si>
  <si>
    <t>감사부(디지털감사)</t>
    <phoneticPr fontId="3" type="noConversion"/>
  </si>
  <si>
    <t>시스템운영팀</t>
    <phoneticPr fontId="3" type="noConversion"/>
  </si>
  <si>
    <t>⚪ 추진실적관리&gt;추진실적관리의 추진과제별 실적 등록 화면 레이아웃 변경(레이아웃 감사부에서 전달 예정)</t>
    <phoneticPr fontId="3" type="noConversion"/>
  </si>
  <si>
    <t>감사부(영업감사)
감사부(본점감사)
감사부(감사기획부)</t>
    <phoneticPr fontId="3" type="noConversion"/>
  </si>
  <si>
    <t>감사부(감사기획부)</t>
    <phoneticPr fontId="3" type="noConversion"/>
  </si>
  <si>
    <t>감사기획부</t>
    <phoneticPr fontId="3" type="noConversion"/>
  </si>
  <si>
    <t>감사부(영업감사)</t>
    <phoneticPr fontId="3" type="noConversion"/>
  </si>
  <si>
    <t>1차 본부감사 업무 요구사항 회의 시 협의</t>
    <phoneticPr fontId="3" type="noConversion"/>
  </si>
  <si>
    <t>대면</t>
    <phoneticPr fontId="3" type="noConversion"/>
  </si>
  <si>
    <t>2차 본부감사 업무 요구사항 회의 시 협의</t>
    <phoneticPr fontId="3" type="noConversion"/>
  </si>
  <si>
    <t>1차 상시감사 업무 요구사항 회의 시 삭제 하기로 협의</t>
    <phoneticPr fontId="3" type="noConversion"/>
  </si>
  <si>
    <t>20241104_감사정보시스템 고도화 및 클라우드 전환 구축_상시감시.docx</t>
    <phoneticPr fontId="3" type="noConversion"/>
  </si>
  <si>
    <t>20241104_감사정보시스템 고도화 및 클라우드 전환 구축_본부감사.docx</t>
  </si>
  <si>
    <t>20241114_감사정보시스템 고도화 및 클라우드 전환 구축_본부감사_2.docx</t>
    <phoneticPr fontId="3" type="noConversion"/>
  </si>
  <si>
    <t>1차 상시감사 업무 요구사항 회의 시 ASIS 개선사항 없음으로 협의</t>
    <phoneticPr fontId="3" type="noConversion"/>
  </si>
  <si>
    <t>20241105_회의록_감사정보시스템 고도화 및 클라우드 전환 재구축_감사마트.docx</t>
    <phoneticPr fontId="3" type="noConversion"/>
  </si>
  <si>
    <t>MDD-00075</t>
  </si>
  <si>
    <t>MDD-00108</t>
  </si>
  <si>
    <t>20241114_감사정보시스템 고도화 및 클라우드 전환 구축_본부감사_2.docx</t>
    <phoneticPr fontId="3" type="noConversion"/>
  </si>
  <si>
    <t>통합싱시감시시스템에서 AI 위험평가 데이터 연계 가능 시 AI부점 위험평가 결과 개발 예정</t>
    <phoneticPr fontId="3" type="noConversion"/>
  </si>
  <si>
    <t>⚪ 조회 시 조회 목록 수 30개 Default, 조회 목록 수 직접 입력은 제외(P127)
⚪ 일상감사 &gt; 정보수집 &gt; 수집정보 조회 및 등록(MDD75MBO000) 메뉴를 본부감사 &gt; 정보관리 &gt; 본부감사 자료실 이동(P127) -&gt; 메뉴 이동하지 않고 현행 유지</t>
    <phoneticPr fontId="3" type="noConversion"/>
  </si>
  <si>
    <t>0.9</t>
    <phoneticPr fontId="3" type="noConversion"/>
  </si>
  <si>
    <t>현업리뷰후 정리본</t>
    <phoneticPr fontId="3" type="noConversion"/>
  </si>
  <si>
    <t>김병원</t>
    <phoneticPr fontId="3" type="noConversion"/>
  </si>
  <si>
    <t>유경근</t>
    <phoneticPr fontId="3" type="noConversion"/>
  </si>
  <si>
    <t>업무</t>
    <phoneticPr fontId="29" type="noConversion"/>
  </si>
  <si>
    <t>구분</t>
    <phoneticPr fontId="29" type="noConversion"/>
  </si>
  <si>
    <t>감사지원</t>
  </si>
  <si>
    <t>본부감사</t>
  </si>
  <si>
    <t>상시감사</t>
  </si>
  <si>
    <t>영업감사</t>
  </si>
  <si>
    <t>일상감사</t>
  </si>
  <si>
    <t>개수 : 요구사항구분</t>
  </si>
  <si>
    <t>개수 : 업무</t>
  </si>
  <si>
    <t>승인상태</t>
  </si>
  <si>
    <t>0.91</t>
    <phoneticPr fontId="3" type="noConversion"/>
  </si>
  <si>
    <t>품질담당자 리뷰</t>
    <phoneticPr fontId="3" type="noConversion"/>
  </si>
  <si>
    <t>(</t>
    <phoneticPr fontId="3" type="noConversion"/>
  </si>
  <si>
    <t>기타</t>
    <phoneticPr fontId="3" type="noConversion"/>
  </si>
  <si>
    <t>업무</t>
  </si>
  <si>
    <t>기능 요약</t>
  </si>
  <si>
    <t>비기능 요약</t>
  </si>
  <si>
    <t>최종 완료</t>
    <phoneticPr fontId="3" type="noConversion"/>
  </si>
  <si>
    <t>1.00</t>
    <phoneticPr fontId="3" type="noConversion"/>
  </si>
  <si>
    <r>
      <t xml:space="preserve">⚪ 연간 위험항목 확정 기능 제공 (p49)
   - 값 조정에 의한 시뮬레이션은 확정 전까지만 가능
   - 확정 이후는 변경하지 못하도록 확정 취소 권한에 대한 정의 필요 (감사부)
   - 위험산출비율 환산공식제공(감사부 및 시스템운영팀)
⚪ 위험수준 평가 시 항목별 가중치 수정기능 제공 (비율 변경 시 기 등록 내역 일괄 재산출 하도록 추가 기능 제공)
⚪ 항목점수 입력 및 관리를 위한 기능 제공  (p49)
  - 일괄등록 :  엑셀파일로 전체 영업점 리스트 일괄등록 할 수 있는 기능 제공 (기존 엑셀파일 활용)
  - 등록 : 영업점 개별 항목 입력 시 사용
  - 수정 : 입력 된 내용 수정 시 사용
</t>
    </r>
    <r>
      <rPr>
        <b/>
        <sz val="10"/>
        <color rgb="FF0000FF"/>
        <rFont val="KB금융 본문체 Light"/>
        <family val="3"/>
        <charset val="129"/>
      </rPr>
      <t>⚪ 위험항목 추가 예정(정의 후 전달 예정 (p49)</t>
    </r>
    <phoneticPr fontId="3" type="noConversion"/>
  </si>
  <si>
    <r>
      <t xml:space="preserve">⚪ 감사조서 내용 작성 시 자동 줄 맞추 기능은 현재 구현이 어려워서 다른 방안 강구 후 추가 협의 예정 (p44)
    - 감사조서 입력 항목에 세로로 위치 맞춤선 제공 제안
</t>
    </r>
    <r>
      <rPr>
        <b/>
        <sz val="10"/>
        <color rgb="FF0000FF"/>
        <rFont val="KB금융 본문체 Light"/>
        <family val="3"/>
        <charset val="129"/>
      </rPr>
      <t>⚪ 감사조서 작성 예시 전달 예정(표준화 방안 강구)</t>
    </r>
    <phoneticPr fontId="3" type="noConversion"/>
  </si>
  <si>
    <r>
      <t xml:space="preserve">⚪ 부점별 위험 유형분석 결과요약 항목 AI위험분석결과  협의 후 전체 Layout 추가 협의(p45)
⚪ 감사 지적 현황 및 KPI감점 현황, RAS 전산평가 현황 등 기 적재 데이터를 활용하여 보고서 형식으로 화면 출력 
⚪ 조회 결과 항목 보고서 출력 기능 제공(보고서 양식 감사부에서 전달)
</t>
    </r>
    <r>
      <rPr>
        <b/>
        <sz val="10"/>
        <color rgb="FF0000FF"/>
        <rFont val="KB금융 본문체 Light"/>
        <family val="3"/>
        <charset val="129"/>
      </rPr>
      <t>⚪ Layout 전달 예정</t>
    </r>
    <phoneticPr fontId="3" type="noConversion"/>
  </si>
  <si>
    <r>
      <t xml:space="preserve">⚪ 영업점 사전감사 시 필요한 주요정보들을 통합하여 한 화면에서 조회 가능하도록 변경(p58)
⚪ AI부점 위험평가 결과(Y/N)으로 받아온 결과를 화면에 표시(AI직원평가결과 정보 추후 협의 후 결정)
⚪ 조회결과 그리드 "감사종류" 항목의  테마감사의 팝업지원 필요 여부 확인(감사부)
⚪ 조회결과 그리드 "내부통제" 항목의 테마감사 이외의 항목 클릭시 감사결과보고서 팝업 출력 여부확인
</t>
    </r>
    <r>
      <rPr>
        <b/>
        <sz val="10"/>
        <color rgb="FF0000FF"/>
        <rFont val="KB금융 본문체 Light"/>
        <family val="3"/>
        <charset val="129"/>
      </rPr>
      <t>⚪ 테마감사일 경우 해당년도 해당 부점의 관련부점과 동일한 지점 리스트 출력</t>
    </r>
    <phoneticPr fontId="3" type="noConversion"/>
  </si>
  <si>
    <r>
      <t>⚪  영업감사 현황을 한번에 조회할 수 있는 대시보드 제공 (각 대시보드 종류별 상세내용은 후속페이지 참조)(p61, p62)
⚪  위험평가별 현황 도표는 RAS기준</t>
    </r>
    <r>
      <rPr>
        <b/>
        <sz val="10"/>
        <color rgb="FF0000FF"/>
        <rFont val="KB금융 본문체 Light"/>
        <family val="3"/>
        <charset val="129"/>
      </rPr>
      <t>(YYYY-1 기준)</t>
    </r>
    <r>
      <rPr>
        <sz val="10"/>
        <rFont val="KB금융 본문체 Light"/>
        <family val="3"/>
        <charset val="129"/>
      </rPr>
      <t xml:space="preserve">
⚪ 지역별 실시현황 도표는 화면에 맞추어 조정하며 클릭시 큰화면의 팝업 제공(영업감사&gt; 메인의 감사진행 대시보드 기준으로 구현
⚪ 업무별 현황 도표는 지적사항 기준으로 수신/여신 외의 기타 항목으로 출력
⚪ 감사실시현황 p62 참조
⚪ 지역별 실시현황은 기존 감사정보시스템에서 사용중인 지역지도 템플릿을 활용 기능 제공( p63 참조)
⚪ 감사지적현황 조회년도 기준으로 등록된 지적건수를 표시(p64 참조)
⚪ 지적 소분류*에 등록된 코드를 기준으로 업무별 지적내역을 표시(p65 참조)
   - 지적사항 다건 존재 시 스크롤로 표시하거나, 지적건수 기준 업무별 상위 Top5만 선별하여 표시하는 방식으로 구현</t>
    </r>
    <phoneticPr fontId="3" type="noConversion"/>
  </si>
  <si>
    <r>
      <t xml:space="preserve">⚪ 기업여신명세 화면 조회시 차주별로 선정된 모든 항목을 전반적으로 조회가능(P57)
⚪ 화면 조회 구분값은 현업담당자와 협의 후 확정 필요
⚪ 리스트에 표시된 항목 클릭시 개별 세부내역 조회할 수 있도록 링크 (기존 ‘감사자료(여신)’ 각 항목 번호와 연계)
⚪ 항목 중 하나라도 조건에 해당하는 경우 목록에 표기됨
⚪ 일 기준 판단기준이 있더라도 월중 한번의 조건에 만족하면 표기됨
⚪ 기준정보 데이터는 배치 수행으로 생성 - 실시간 조회는 되지않음(D-1 데이터)
</t>
    </r>
    <r>
      <rPr>
        <b/>
        <sz val="10"/>
        <color rgb="FF0000FF"/>
        <rFont val="KB금융 본문체 Light"/>
        <family val="3"/>
        <charset val="129"/>
      </rPr>
      <t>⚪ 차주는 관리점기준</t>
    </r>
    <phoneticPr fontId="3" type="noConversion"/>
  </si>
  <si>
    <r>
      <t xml:space="preserve">⚪ 통합상시감사시스템에서 월별로 산출되는 AI직원위험평가 결과를 연계하여 조회하는 화면 (본 내용은 모듈2 AI위험평가결과 요건과 화면기능을 동일하게 승계함)(P175)
⚪ 조회하는 직원의 기본정보 표시
⚪ 연계되는 정보를 화면에 표시 (조회형식/UI는 원천시스템과 동일하게 구현)
⚪ 감사지원 항목을 영업감사 항목으로 메뉴및 기능 재조정 정의(감사부)
⚪ AI 위험평가결과 연계 협의 하여 구현 여부 확인
</t>
    </r>
    <r>
      <rPr>
        <sz val="10"/>
        <color rgb="FFFF0000"/>
        <rFont val="KB금융 본문체 Light"/>
        <family val="3"/>
        <charset val="129"/>
      </rPr>
      <t>⚪ 영업감사로 위치 이동</t>
    </r>
    <phoneticPr fontId="3" type="noConversion"/>
  </si>
  <si>
    <r>
      <t xml:space="preserve">⚪ 통합상시감사시스템에서 월별로 산출되는 AI부점위험평가 결과를 연계하여 조회하는 화면 (본 내용은 모듈2 AI위험평가결과 요건과 화면기능을 동일하게 승계함)(P176)
⚪ 연계되는 정보를 화면에 표시 (조회형식/UI는 원천시스템과 동일하게 구현)
⚪ 감사지원 항목을 영업감사 항목으로 메뉴및 기능 재조정 정의(감사부))
⚪ AI 위험평가결과 연계 협의 하여 구현 여부 확인
</t>
    </r>
    <r>
      <rPr>
        <sz val="10"/>
        <color rgb="FFFF0000"/>
        <rFont val="KB금융 본문체 Light"/>
        <family val="3"/>
        <charset val="129"/>
      </rPr>
      <t>⚪ 영업감사로 위치 이동</t>
    </r>
    <phoneticPr fontId="3" type="noConversion"/>
  </si>
  <si>
    <r>
      <t xml:space="preserve">⚪ AI부점위험평가결과 연계하여 월말 기준 전체 부점 평가결과를 적재함 (월별 적재) (P177)
   - 적재대상 : 매월 말 AI부점위험평가 결과로 산출된 데이터 
⚪ 각 월별 AI부점위험평가를 표시하며, 고위험으로 평가된 항목은 붉은색으로 별도 표시
</t>
    </r>
    <r>
      <rPr>
        <sz val="10"/>
        <color rgb="FFFF0000"/>
        <rFont val="KB금융 본문체 Light"/>
        <family val="3"/>
        <charset val="129"/>
      </rPr>
      <t>⚪ 영업감사로 위치 이동</t>
    </r>
    <phoneticPr fontId="3" type="noConversion"/>
  </si>
  <si>
    <r>
      <t xml:space="preserve">⚪ AI위험평가결과 연계하여 월말 기준 현황을 대시보드 형태로 제공(p178~p179)
⚪ 지역그룹별 위험직원 현황 – 지역그룹별 고위험직원으로 평가된 인력 수를 전월/당월로 분류하여 표시
⚪ 위험직원 세부현황 – 평가월 기준 AI모델 분류값에 따른 세부내역을 그래프 형태로 표기 
   (세부항목은 모듈2 모델에 따라 변동 가능)
⚪ 지역그룹별 위험부점 현황 – AI부점위험평가 결과를 기준으로 각 지역그룹별 위험대상 ‘Y’인 부점개수를 집계 후 표시
    (위험부점 숫자가 많은 그룹으로 순위 표시)
⚪ 조회년도의 전행 위험부점 개수를 월별로 집계하여 표시 (월별 변화율 별도 표시)
⚪ 본 화면은 미확정 요구사항으로 실제 구축단계에서 요건 확정하여 반영 필요
⚪ 대시보드에서 지역그룹 단위 클릭시 별도 당월 위험부점으로 평가된 개별 부점을 조회할 수 있는 팝업창이 출력되며, 
   상세결과는 부점위험조회 화면으로 링크하여 상세내역을 직접 조회할 수 있도록 기능 제공
</t>
    </r>
    <r>
      <rPr>
        <sz val="10"/>
        <color rgb="FFFF0000"/>
        <rFont val="KB금융 본문체 Light"/>
        <family val="3"/>
        <charset val="129"/>
      </rPr>
      <t>⚪ 영업감사로 위치 이동</t>
    </r>
    <phoneticPr fontId="3" type="noConversion"/>
  </si>
  <si>
    <r>
      <t xml:space="preserve">⚪ 상시감사 지적사항으로 기 등록된 내용이 존재할 경우 관련 정보를 연계하여 화면에 표시(p55)
   - 상시감사&gt;지적사항조회&gt;영업점상시감사&gt;교육사항 정보조회]의 계좌번호 같은 경우
</t>
    </r>
    <r>
      <rPr>
        <b/>
        <sz val="10"/>
        <color rgb="FF0000FF"/>
        <rFont val="KB금융 본문체 Light"/>
        <family val="3"/>
        <charset val="129"/>
      </rPr>
      <t>⚪ 기존 감사정보시스템에서 보유중인 내역 조회 추후 통합상시감사와 연계</t>
    </r>
    <r>
      <rPr>
        <sz val="10"/>
        <rFont val="KB금융 본문체 Light"/>
        <family val="3"/>
        <charset val="129"/>
      </rPr>
      <t xml:space="preserve">
⚪ 내역조회 버튼 클릭시 출력되는 내용이 다양해 형식에 구애받지않고 내용출력(준법추진부와 협의 필요)</t>
    </r>
    <phoneticPr fontId="3" type="noConversion"/>
  </si>
  <si>
    <r>
      <t xml:space="preserve">⚪ 신규화면 : 본부감사 현황을 한번에 조회할 수 있는 대시보드 제공(p120)
   - 감사실시현황, 지적사항 조치현황, 진행감사 상세, 감사부 주요일정, 감사구분별 현황, 조치현황, 휴가현황, 공지사항, 감사지적현황, 
      내감사 진행현황, RM보고 및 감사자료실
⚪ 본부감사 클릭 시 메인화면(첫페이지)에 본 화면이 출력되도록 함
</t>
    </r>
    <r>
      <rPr>
        <b/>
        <sz val="10"/>
        <color rgb="FF0000FF"/>
        <rFont val="KB금융 본문체 Light"/>
        <family val="3"/>
        <charset val="129"/>
      </rPr>
      <t>⚪ 현재 부서 메인 화면 사이즈와 동일하게 구현</t>
    </r>
    <phoneticPr fontId="3" type="noConversion"/>
  </si>
  <si>
    <r>
      <t xml:space="preserve">⚪ 키워드 입력 항목 추가. 지적사항 등록 시 지적과 관련된 주요 키워드를 ‘#키워드’ 형태로 입력하게 함. 이후 DB에 #로 구분된 키워드들이 각각 
    저장되며, 본 정보는 검색기능 제공시 활용됨 (p75)
</t>
    </r>
    <r>
      <rPr>
        <b/>
        <sz val="10"/>
        <color rgb="FF0000FF"/>
        <rFont val="KB금융 본문체 Light"/>
        <family val="3"/>
        <charset val="129"/>
      </rPr>
      <t>⚪ 감사보고서 등록시 키워드 항목 필수 입력 항목으로 등록 할 수 있도록 구현
⚪ 감사조서와 귀임보고서는 통합검색에서 like 검색 대상임</t>
    </r>
    <phoneticPr fontId="3" type="noConversion"/>
  </si>
  <si>
    <r>
      <t xml:space="preserve">⚪ 글로벌상시-점검화면에서 목록 상단에 </t>
    </r>
    <r>
      <rPr>
        <b/>
        <sz val="10"/>
        <color rgb="FF0000FF"/>
        <rFont val="KB금융 본문체 Light"/>
        <family val="3"/>
        <charset val="129"/>
      </rPr>
      <t>전체선택 체크박스 제외</t>
    </r>
    <r>
      <rPr>
        <sz val="10"/>
        <rFont val="KB금융 본문체 Light"/>
        <family val="3"/>
        <charset val="129"/>
      </rPr>
      <t xml:space="preserve">, 개발 목록에 개별 선택 체크박스 기능 구현 하여 선택된 항목 일괄(점검 버튼) 점검 하는 기능 제공(p24)
</t>
    </r>
    <r>
      <rPr>
        <b/>
        <sz val="10"/>
        <color rgb="FF0000FF"/>
        <rFont val="KB금융 본문체 Light"/>
        <family val="3"/>
        <charset val="129"/>
      </rPr>
      <t>⚪ 본부상시- 전체선택 체크박스는 제외, 개발 목록에 개별 선택 체크박스(금액 합계 표시) 기능 구현 하여 선택된 항목 일괄(점검 버튼) 점검 하는 기능 제공</t>
    </r>
    <phoneticPr fontId="3" type="noConversion"/>
  </si>
  <si>
    <r>
      <t xml:space="preserve">⚪ 점검내용 작성한 목록만 조회 할 수 있는 기능 제공(조회 조건 - 일자(from~to), 점검자, 점검항목별 등), </t>
    </r>
    <r>
      <rPr>
        <b/>
        <sz val="10"/>
        <color rgb="FF0000FF"/>
        <rFont val="KB금융 본문체 Light"/>
        <family val="3"/>
        <charset val="129"/>
      </rPr>
      <t>출력기능 불필요</t>
    </r>
    <phoneticPr fontId="3" type="noConversion"/>
  </si>
  <si>
    <r>
      <t xml:space="preserve">⚪ 심의/조사&gt; 감사보고서 관리의 하위 메뉴 통합하여 하나의 화면에서 조회(p157)
  - 구)감사보고서관리(2013.11.29이전)
  - 감사보고서관리(일반)
  - 감사보고서관리(내부통제)
  - 감사보고서관리(특별점검)
  - 감사보고서관리(부책)
⚪ 조회 컬럼은 전체 화면에 존재하는 모든 컬럼정보를 표시하되, 업무별 존재하지 않는 값은 공백으로 표시
</t>
    </r>
    <r>
      <rPr>
        <b/>
        <sz val="10"/>
        <color rgb="FFFF0000"/>
        <rFont val="KB금융 본문체 Light"/>
        <family val="3"/>
        <charset val="129"/>
      </rPr>
      <t>⚪ 삭제</t>
    </r>
    <phoneticPr fontId="3" type="noConversion"/>
  </si>
  <si>
    <r>
      <t xml:space="preserve">⚪ Knowledge검색 기능을 제공하는 신규화면 – 본 내용은 실제 개발  상황에 맞춰 Tab항목 및 조회조건 변동 가능(p172~p174)
⚪ 내부적으로 구성된 검색DB안에서 조회 키워드로 검색된 대상들을 분류하여 각 Tab에서 조회할 수 있도록 기능 제공
⚪ 각 Tab 분류에 맞춰 하단에 목록으로 조회대상이 표시되며, 각 내용 클릭시 세부내용 조회 가능 (화면예시 : 감사지적사항)
   - 외규, 내규 -&gt; 키워드 존재할경우 지원 아니면 DB like 검색
   - 감사지적사항과 감사결과보고서 저장시 키워드 필수 항목으로 지정하여 입력 하도록 유도(영업감사, 본부감사.심의/조사 업무 협의 설명)
   - 금융사고, 감독원지적사례, 법령해석은 은행 KB RPA솔루션 활용 가능
⚪ 금융감독원 법령정보 관련 내용을 감사정보시스템에 적재(RAP활용)한 후 검색 키워드가 ‘질의요지’, ‘회답’, ‘이유’에 들어가 있는 경우 해당 
   항목을 화면에서 조회할 수 있도록 기능 제공
⚪ 해당 정보는 금융규제·법령해석포털(better.fsc.go.kr) 의 법령해석/비조치의견서 메뉴 &gt; 회신사례 &gt; 최근회신사례 에서 RPA로 관련내용
   가져올 수 있도록 함
⚪ RPA 수집시 본문내용 및 첨부파일의 내용도 텍스트 파일로 저장하는 기능 가능하다고 시스템운영팀에서 전달
</t>
    </r>
    <r>
      <rPr>
        <b/>
        <sz val="10"/>
        <color rgb="FF0000FF"/>
        <rFont val="KB금융 본문체 Light"/>
        <family val="3"/>
        <charset val="129"/>
      </rPr>
      <t>⚪ 분류 삭제
⚪ 키워드검색 또는 본문(LIKE)검색 선택 항목 추가
⚪ 키워드 3개는 default, 2개 선택</t>
    </r>
    <phoneticPr fontId="3" type="noConversion"/>
  </si>
  <si>
    <t>검토상태</t>
    <phoneticPr fontId="29" type="noConversion"/>
  </si>
  <si>
    <r>
      <rPr>
        <sz val="10"/>
        <color theme="1"/>
        <rFont val="KB금융 본문체 Light"/>
        <family val="3"/>
        <charset val="129"/>
      </rPr>
      <t>⚪ 감사정보시스템(부점용)&gt;지적사항관리&gt;본부감사지적사항관리&gt;본부감사지적사항관리 조치이행 부서내 확인 기능</t>
    </r>
    <r>
      <rPr>
        <sz val="10"/>
        <rFont val="KB금융 본문체 Light"/>
        <family val="3"/>
        <charset val="129"/>
      </rPr>
      <t xml:space="preserve">
</t>
    </r>
    <r>
      <rPr>
        <b/>
        <sz val="10"/>
        <color rgb="FF0000FF"/>
        <rFont val="KB금융 본문체 Light"/>
        <family val="3"/>
        <charset val="129"/>
      </rPr>
      <t>⚪ 부서내 확인기능은 조치이행에 대한 내용 및 첨부파일을 담당자가 작성하고 부서장이 다시 한번 검증하는 기능</t>
    </r>
    <phoneticPr fontId="3" type="noConversion"/>
  </si>
  <si>
    <r>
      <rPr>
        <sz val="10"/>
        <color theme="1"/>
        <rFont val="KB금융 본문체 Light"/>
        <family val="3"/>
        <charset val="129"/>
      </rPr>
      <t>⚪ 삭제 상시 지적사항 관련 현황 보고서 조회 이미 기능 구현되어 있음(p31)</t>
    </r>
    <r>
      <rPr>
        <sz val="10"/>
        <rFont val="KB금융 본문체 Light"/>
        <family val="3"/>
        <charset val="129"/>
      </rPr>
      <t xml:space="preserve">
</t>
    </r>
    <r>
      <rPr>
        <b/>
        <sz val="10"/>
        <color rgb="FF0000FF"/>
        <rFont val="KB금융 본문체 Light"/>
        <family val="3"/>
        <charset val="129"/>
      </rPr>
      <t>⚪ 오즈 보고서로 출력(차트 구현 여부 확인 필 - 상세 레이아웃은 추후 전달 예정)</t>
    </r>
    <phoneticPr fontId="3" type="noConversion"/>
  </si>
  <si>
    <t>기능/비기능</t>
  </si>
  <si>
    <t>상태/검토구분</t>
  </si>
  <si>
    <t>Accepted</t>
  </si>
  <si>
    <t>Accepted</t>
    <phoneticPr fontId="3" type="noConversion"/>
  </si>
  <si>
    <t>Conditional Accepted</t>
  </si>
  <si>
    <t>Not Accepted</t>
  </si>
  <si>
    <r>
      <t xml:space="preserve">⚪ 감사역화면의 시정 진행현황 조회와 시정관리대장조회 화면 통합하고 검색조건 시정 진행현황 조회조건에 시정관리대장조회의 정리구분 항목 추가(p138~p139)
⚪ 통합한 시정관리 대장 조회에서 심의등록 상세보기에서 심의 완료인 경우 재심의 버튼을 추가하여 재심의 할 수 있는 기능 제공
</t>
    </r>
    <r>
      <rPr>
        <b/>
        <sz val="10"/>
        <color rgb="FF0000FF"/>
        <rFont val="KB금융 본문체 Light"/>
        <family val="3"/>
        <charset val="129"/>
      </rPr>
      <t>⚪ 시정완료일이 입력되어야면 재심의 후 의결등록이 안되게 함.</t>
    </r>
    <r>
      <rPr>
        <sz val="10"/>
        <rFont val="KB금융 본문체 Light"/>
        <family val="3"/>
        <charset val="129"/>
      </rPr>
      <t xml:space="preserve">
⚪ 재심의 저장시 정리완료일을 초기화 여부(Y/N) 메시지 출력하여 저장 하는 기능 제공(p138~p139)
⚪ 심의/조사&gt;지적사항심의&gt;본부감사지적심의&gt; 본부심의관리 조회 결과 화면에서 심의의뢰감사역, 심의완료일 항목 추가
⚪ 심의/조사&gt;지적사항심의&gt;본부감사지적심의&gt; 본부심의관리본부감사 지적심의 상세보기 팝업화면에 본부 심의완료일 항목 추가</t>
    </r>
    <phoneticPr fontId="3" type="noConversion"/>
  </si>
  <si>
    <t>⚪ 부서 수행업무 상세내역 현황을 조회하고 세부내용을 관리하는 기능 제공. 등록완료 대상은 확정을 위해 부서장 결재 진행:확정을 위한 결재 방식에 대한 정리(감사부)(p117)
⚪ 부서별 수행업무 상세내역 현황은 개별부서 입력 결과를 토대로 화면에 표시, 입력 세부요건은 업무담당자 협의 후 확정 필요
   - ※ (참고)위험요인 분석표.xlsx
⚪ 수행업무 상세내역은 개별 업무명 별로 담당자가 직접 입력 및 저장할 수 있도록 기능 제공
   - (추가) : 표준양식 제공 가능시 SI 개발단계에서 일괄업로드 기능 추가
⚪ 감사부/부점 조회 가능 화면
⚪ 수행업무 항목 등록시 상태(작성중, 확정)는 해당 부서의 부서장 결재 완료 시 적용 할지 여부 감사부에서 정의하여 전달 예정(결재방식 추후 협의)</t>
    <phoneticPr fontId="3" type="noConversion"/>
  </si>
  <si>
    <t>MDD-00014</t>
    <phoneticPr fontId="3" type="noConversion"/>
  </si>
  <si>
    <t>Biz-0056</t>
    <phoneticPr fontId="3" type="noConversion"/>
  </si>
  <si>
    <t>MDD-00142</t>
    <phoneticPr fontId="3" type="noConversion"/>
  </si>
  <si>
    <t>⚪ 조회조건  심의진행상태(심의대상, 의결대상, 심의완료) 추가(p141)
⚪ 심의진행상태가 심의대상일 경우에도 보고서 출력 가능하도록 구현</t>
    <phoneticPr fontId="3" type="noConversion"/>
  </si>
  <si>
    <t>본부감사</t>
    <phoneticPr fontId="3" type="noConversion"/>
  </si>
  <si>
    <t>Biz-0057</t>
    <phoneticPr fontId="3" type="noConversion"/>
  </si>
  <si>
    <t>MDD-00143</t>
    <phoneticPr fontId="3" type="noConversion"/>
  </si>
  <si>
    <t>⚪ RM 정보사항에 대한 감사적용 여부 및 사후관리 진행여부를 관리 할 수 있는 기능 구현</t>
    <phoneticPr fontId="3" type="noConversion"/>
  </si>
  <si>
    <t>MDD-00144</t>
    <phoneticPr fontId="3" type="noConversion"/>
  </si>
  <si>
    <t>MDD-00145</t>
    <phoneticPr fontId="3" type="noConversion"/>
  </si>
  <si>
    <t>기타</t>
    <phoneticPr fontId="3" type="noConversion"/>
  </si>
  <si>
    <t>RM정보사항에 대한 사후관리</t>
    <phoneticPr fontId="3" type="noConversion"/>
  </si>
  <si>
    <r>
      <t xml:space="preserve">⚪ 좌측 트리 메뉴에 긴급항목 추가하여 클릭 시 추출된 </t>
    </r>
    <r>
      <rPr>
        <b/>
        <sz val="10"/>
        <color rgb="FFFF0000"/>
        <rFont val="KB금융 본문체 Light"/>
        <family val="3"/>
        <charset val="129"/>
      </rPr>
      <t>(감사부에서 명칭 제공 예정)</t>
    </r>
    <r>
      <rPr>
        <sz val="10"/>
        <color rgb="FFFF0000"/>
        <rFont val="KB금융 본문체 Light"/>
        <family val="3"/>
        <charset val="129"/>
      </rPr>
      <t xml:space="preserve"> 항목 목록이 조회되는 기능 제공(p17)</t>
    </r>
    <phoneticPr fontId="3" type="noConversion"/>
  </si>
  <si>
    <t>2024.12.20</t>
    <phoneticPr fontId="3" type="noConversion"/>
  </si>
  <si>
    <t>대면</t>
    <phoneticPr fontId="3" type="noConversion"/>
  </si>
  <si>
    <t>⚪ 영업감사의 지적사항 중 지적구분이 문책인 경우 심의의뢰 하기 위한 기능 구현
⚪ 기존 지적사항 내용외 문책보고서(기존 특별감사(조사)보고서)를 작성하여 심의의뢰 하는 기능 구현
⚪ 문책보고서는 기존 지적사항 내용 및 관련자 정보과 포함되어 심의의뢰 하는 기능 구현</t>
    <phoneticPr fontId="3" type="noConversion"/>
  </si>
  <si>
    <t>공통</t>
    <phoneticPr fontId="3" type="noConversion"/>
  </si>
  <si>
    <t>공통기타</t>
    <phoneticPr fontId="3" type="noConversion"/>
  </si>
  <si>
    <t>MDD-00146</t>
    <phoneticPr fontId="3" type="noConversion"/>
  </si>
  <si>
    <t>MDD-00147</t>
    <phoneticPr fontId="3" type="noConversion"/>
  </si>
  <si>
    <t>⚪ RPA를 활용한 금융감독원 Dart 공시자료 입수를 위한 관리 화면 기능 구현</t>
    <phoneticPr fontId="3" type="noConversion"/>
  </si>
  <si>
    <t>⚪ RPA를 활용한 금융사고 발생 시 관련법령, 지적사례 및 과징금 입수를 위한 관리 화면 기능 구현</t>
    <phoneticPr fontId="3" type="noConversion"/>
  </si>
  <si>
    <t>⚪ DB 컬럼 표준화 작업에 의한 화면 기능 수정</t>
    <phoneticPr fontId="3" type="noConversion"/>
  </si>
  <si>
    <t>DB 컬럼 표준화 적용</t>
    <phoneticPr fontId="3" type="noConversion"/>
  </si>
  <si>
    <t>RPA 활용하여 금융감독원 자료 입수 기능 제공</t>
    <phoneticPr fontId="3" type="noConversion"/>
  </si>
  <si>
    <t>감사지원</t>
    <phoneticPr fontId="3" type="noConversion"/>
  </si>
  <si>
    <t>감사마트 기타</t>
    <phoneticPr fontId="3" type="noConversion"/>
  </si>
  <si>
    <t>MDD-00148</t>
    <phoneticPr fontId="3" type="noConversion"/>
  </si>
  <si>
    <t>⚪ 상품 개발적정성 점검 감사를 위한 감사마트 적재 및 화면 기능 구현</t>
    <phoneticPr fontId="3" type="noConversion"/>
  </si>
  <si>
    <t>감사데이터 수집 및 활용 효율성 강화를 위한 감사마트 구축</t>
  </si>
  <si>
    <t>김사지원</t>
    <phoneticPr fontId="3" type="noConversion"/>
  </si>
  <si>
    <t>Biz-0058</t>
  </si>
  <si>
    <t>Biz-0059</t>
  </si>
  <si>
    <t>Biz-0060</t>
  </si>
  <si>
    <t>Biz-0061</t>
  </si>
  <si>
    <t>Biz-0062</t>
  </si>
  <si>
    <t>상품 개발 적정성 점검</t>
    <phoneticPr fontId="3" type="noConversion"/>
  </si>
  <si>
    <t>추가</t>
    <phoneticPr fontId="29" type="noConversion"/>
  </si>
  <si>
    <t>⚪ 본부상시 메시전송 현황을 조회 조건 전송일자, 점검항목별로 조회 할수 있는 기능 제공(p27)
⚪ 메신저 담당자(workB담당자 : 경영정보개발부 박태주수석)에 메시지 회신여부등 가능 여부 확인 후 적용 가능(IT, 개발)</t>
    <phoneticPr fontId="3" type="noConversion"/>
  </si>
  <si>
    <r>
      <t>⚪ 공개여부 컬럼 신설:검사서 등록 시 공개여부를 선택할 수 있으며, 공개여부 Y 대상은 검사서 내용을 일반검사역도 조회 가능
   (Y로 선택된 경우 최종검사서 접수일 기준 지정기간 이후 공개)(p155)
   - 최초등록 시 Default : N
   - 기획반에서 공개가능대상 선정하여 Y로 변경
⚪ 검사서 사전등록 관리 팝업 화면에서 확정된 검사서 입력시 기획반에서 ‘공개여부’, ‘공개시점’을 선택하여 관리할 수 있도록 기능 제공
   - 공개시점 Default : 3개월 후(</t>
    </r>
    <r>
      <rPr>
        <b/>
        <sz val="10"/>
        <color rgb="FFFF0000"/>
        <rFont val="KB금융 본문체 Light"/>
        <family val="3"/>
        <charset val="129"/>
      </rPr>
      <t>알림문구에 건수 표시</t>
    </r>
    <r>
      <rPr>
        <sz val="10"/>
        <color rgb="FFFF0000"/>
        <rFont val="KB금융 본문체 Light"/>
        <family val="3"/>
        <charset val="129"/>
      </rPr>
      <t xml:space="preserve">)
⚪ 공개여부 접근권한은 감사부의 대외관리 팀과 모든 감사역으로 구분함
</t>
    </r>
    <r>
      <rPr>
        <b/>
        <sz val="10"/>
        <color rgb="FFFF0000"/>
        <rFont val="KB금융 본문체 Light"/>
        <family val="3"/>
        <charset val="129"/>
      </rPr>
      <t>⚪ 영구비공개, 비공개, 공개</t>
    </r>
    <phoneticPr fontId="3" type="noConversion"/>
  </si>
  <si>
    <t>분석/설계</t>
    <phoneticPr fontId="3" type="noConversion"/>
  </si>
  <si>
    <t>비대면</t>
    <phoneticPr fontId="3" type="noConversion"/>
  </si>
  <si>
    <t>2025.01.16</t>
    <phoneticPr fontId="3" type="noConversion"/>
  </si>
  <si>
    <r>
      <rPr>
        <sz val="10"/>
        <color theme="1"/>
        <rFont val="KB금융 본문체 Light"/>
        <family val="3"/>
        <charset val="129"/>
      </rPr>
      <t>⚪ 감사정보시스템(부점용)의 주요 정보사항 보고 등록 시 정보구분이 IT장애보고 등록시 간단한 항목 입력으로 등록 가능한 기능 및 추후 금감원접수번호 입력 저장시 해당 내역이 IT장애보고조회에서 조회 결과로 표시(p142, p143)
⚪ IT장애보고의 등록은 감사정보시스템(부점용)에서만 입력 가능 하도록 구현(p142, p143)</t>
    </r>
    <r>
      <rPr>
        <sz val="10"/>
        <color rgb="FFFF0000"/>
        <rFont val="KB금융 본문체 Light"/>
        <family val="3"/>
        <charset val="129"/>
      </rPr>
      <t xml:space="preserve">
</t>
    </r>
    <r>
      <rPr>
        <sz val="10"/>
        <color theme="1"/>
        <rFont val="KB금융 본문체 Light"/>
        <family val="3"/>
        <charset val="129"/>
      </rPr>
      <t>⚪ 감사정보시스템(부점용)의 주요 정보사항 보고 정보구분에 글로벌점포 전용 항목(현지감독기관 감사착수보고, 현지감독기관 감사결과 보고 및 현지감독 관련 기타정보 보고) 추가(p142, p143)</t>
    </r>
    <r>
      <rPr>
        <sz val="10"/>
        <color rgb="FFFF0000"/>
        <rFont val="KB금융 본문체 Light"/>
        <family val="3"/>
        <charset val="129"/>
      </rPr>
      <t xml:space="preserve">
</t>
    </r>
    <r>
      <rPr>
        <sz val="10"/>
        <color theme="1"/>
        <rFont val="KB금융 본문체 Light"/>
        <family val="3"/>
        <charset val="129"/>
      </rPr>
      <t>⚪ 주요정보사항(정보구분이 IT장애보고 제외) 입력 항목 중 주요내용, 조치내용, 기타 특이사항 칸을 조정하여 발생시기 및 경위 항목이 10줄 정도 입력되어 출력 할 수있게 조정 및 첨부파일 여러개 등록 가능도록 기능 제공(p144)</t>
    </r>
    <phoneticPr fontId="3" type="noConversion"/>
  </si>
  <si>
    <r>
      <t>⚪</t>
    </r>
    <r>
      <rPr>
        <sz val="10"/>
        <color rgb="FFFF0000"/>
        <rFont val="KB금융 본문체 Light"/>
        <family val="3"/>
        <charset val="129"/>
      </rPr>
      <t xml:space="preserve"> 글로벌 정보고관리 메뉴 통합 대상인 중요정보보고, (신)중요정보보고, 수검정보보고 및 (신)수검정보보고가 데이터의  상이로 통합 불가</t>
    </r>
    <r>
      <rPr>
        <sz val="10"/>
        <rFont val="KB금융 본문체 Light"/>
        <family val="3"/>
        <charset val="129"/>
      </rPr>
      <t xml:space="preserve">
⚪ 메뉴는 통합하여 하나의 화면에 탭으로 중요정보보고, (신)중요정보보고, 수검정보보고 및 (신)수검정보보고로 구성하여 구현</t>
    </r>
    <phoneticPr fontId="3" type="noConversion"/>
  </si>
  <si>
    <t>Accepted -&gt; Not Accepted
2024.12.20 스토리보드 리뷰
참석 :  김민정 감사역, 김병원 이사
사유 : 해당 항목의 실효성이미비하다고 판단하여 삭제하기로 함</t>
    <phoneticPr fontId="3" type="noConversion"/>
  </si>
  <si>
    <t>담당자: 임태운 감사역, 강성훈 감사역
요구사항명세서 리뷰 시 KB금융그룹 전산 운영방침상 불가하여 오렌지(DB툴) 사용하기로 협의</t>
    <phoneticPr fontId="3" type="noConversion"/>
  </si>
  <si>
    <t>담당자: 임태운 감사역, 강성훈 감사역
감사마트 업무 요구사항 회의 시 수신계좌정보의 적재가 데이터양에 비해 활용도가 미비하여 삭제 하기로 협의</t>
    <phoneticPr fontId="3" type="noConversion"/>
  </si>
  <si>
    <t>담당자: 김민정 감사역
요구사항명세서 리뷰 시 본부상시와는 해당 기능 불필요해 기능 삭제하기로 협의</t>
    <phoneticPr fontId="3" type="noConversion"/>
  </si>
  <si>
    <t>담당자: 육인석감사역
사유 : 요구사항정의 리뷰시 해당화면 통합하지 않기로 협의 함.</t>
    <phoneticPr fontId="3" type="noConversion"/>
  </si>
  <si>
    <t>Accepted -&gt; Not Accepted
2024.12월중 스토리보드 리뷰시
사유 : 임태운 감사역 요청으로 해당 팀에서 문서 공개에 대한 거부감으로 공개하지 않기로하여 해당 목록을 개발에세 제외하기로 함</t>
    <phoneticPr fontId="3" type="noConversion"/>
  </si>
  <si>
    <t>데이터 상이로 하나 화면으로 통합은 불가능하므로, 하나 화면에 탭으로 구성 가능</t>
    <phoneticPr fontId="3" type="noConversion"/>
  </si>
  <si>
    <t>담당자: 김보영감사역 
요구사항명세서 리뷰 시 삭제하기로 협의
사유 : 실제 영업감사는 감사마트를 활용하지 않으며 위험·중점 항목은 영업점위험평가 시뮬레이션 기능으로 대체하기로 함</t>
    <phoneticPr fontId="3" type="noConversion"/>
  </si>
  <si>
    <t>담당자 : 임경택 감사역
감사자료 10건 개발을 진행하나 해당 프로젝트외로 진행하기로 협의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</si>
</sst>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108">
    <font>
      <sz val="11"/>
      <name val="돋움"/>
      <family val="3"/>
      <charset val="129"/>
    </font>
    <font>
      <sz val="10"/>
      <color theme="1"/>
      <name val="맑은 고딕"/>
      <family val="2"/>
      <charset val="129"/>
      <scheme val="minor"/>
    </font>
    <font>
      <sz val="11"/>
      <name val="돋움"/>
      <family val="3"/>
      <charset val="129"/>
    </font>
    <font>
      <sz val="8"/>
      <name val="돋움"/>
      <family val="3"/>
      <charset val="129"/>
    </font>
    <font>
      <sz val="11"/>
      <name val="굴림"/>
      <family val="3"/>
      <charset val="129"/>
    </font>
    <font>
      <b/>
      <sz val="9"/>
      <name val="굴림"/>
      <family val="3"/>
      <charset val="129"/>
    </font>
    <font>
      <sz val="10"/>
      <name val="맑은 고딕"/>
      <family val="3"/>
      <charset val="129"/>
    </font>
    <font>
      <b/>
      <i/>
      <sz val="20"/>
      <name val="맑은 고딕"/>
      <family val="3"/>
      <charset val="129"/>
    </font>
    <font>
      <sz val="11"/>
      <name val="맑은 고딕"/>
      <family val="3"/>
      <charset val="129"/>
    </font>
    <font>
      <sz val="10"/>
      <name val="Arial"/>
      <family val="2"/>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8"/>
      <name val="맑은 고딕"/>
      <family val="3"/>
      <charset val="129"/>
    </font>
    <font>
      <sz val="11"/>
      <color theme="1"/>
      <name val="맑은 고딕"/>
      <family val="3"/>
      <charset val="129"/>
      <scheme val="minor"/>
    </font>
    <font>
      <sz val="8"/>
      <name val="맑은 고딕"/>
      <family val="2"/>
      <charset val="129"/>
      <scheme val="minor"/>
    </font>
    <font>
      <sz val="11"/>
      <name val="KB금융 본문체 Medium"/>
      <family val="3"/>
      <charset val="129"/>
    </font>
    <font>
      <sz val="11"/>
      <name val="KB금융 제목체 Bold"/>
      <family val="3"/>
      <charset val="129"/>
    </font>
    <font>
      <sz val="16"/>
      <name val="KB금융 제목체 Bold"/>
      <family val="3"/>
      <charset val="129"/>
    </font>
    <font>
      <b/>
      <sz val="22"/>
      <name val="KB금융 제목체 Bold"/>
      <family val="3"/>
      <charset val="129"/>
    </font>
    <font>
      <sz val="22"/>
      <name val="KB금융 제목체 Bold"/>
      <family val="3"/>
      <charset val="129"/>
    </font>
    <font>
      <sz val="18"/>
      <name val="KB금융 제목체 Bold"/>
      <family val="3"/>
      <charset val="129"/>
    </font>
    <font>
      <sz val="11"/>
      <name val="KB금융 본문체 Bold"/>
      <family val="3"/>
      <charset val="129"/>
    </font>
    <font>
      <b/>
      <sz val="16"/>
      <name val="KB금융 제목체 Bold"/>
      <family val="3"/>
      <charset val="129"/>
    </font>
    <font>
      <sz val="10"/>
      <name val="KB금융 본문체 Bold"/>
      <family val="3"/>
      <charset val="129"/>
    </font>
    <font>
      <sz val="10"/>
      <name val="KB금융 본문체 Medium"/>
      <family val="3"/>
      <charset val="129"/>
    </font>
    <font>
      <b/>
      <sz val="10"/>
      <name val="KB금융 본문체 Bold"/>
      <family val="3"/>
      <charset val="129"/>
    </font>
    <font>
      <b/>
      <sz val="10"/>
      <color rgb="FFFF0000"/>
      <name val="KB금융 본문체 Bold"/>
      <family val="3"/>
      <charset val="129"/>
    </font>
    <font>
      <sz val="11"/>
      <color theme="1"/>
      <name val="KB금융 본문체 Bold"/>
      <family val="3"/>
      <charset val="129"/>
    </font>
    <font>
      <sz val="10"/>
      <color theme="1"/>
      <name val="KB금융 본문체 Bold"/>
      <family val="3"/>
      <charset val="129"/>
    </font>
    <font>
      <b/>
      <sz val="11"/>
      <name val="KB금융 본문체 Medium"/>
      <family val="3"/>
      <charset val="129"/>
    </font>
    <font>
      <b/>
      <sz val="10"/>
      <name val="KB금융 본문체 Medium"/>
      <family val="3"/>
      <charset val="129"/>
    </font>
    <font>
      <b/>
      <sz val="11"/>
      <name val="굴림"/>
      <family val="3"/>
      <charset val="129"/>
    </font>
    <font>
      <b/>
      <sz val="11"/>
      <name val="KB금융 본문체 Bold"/>
      <family val="3"/>
      <charset val="129"/>
    </font>
    <font>
      <sz val="9"/>
      <name val="KB금융 본문체 Bold"/>
      <family val="3"/>
      <charset val="129"/>
    </font>
    <font>
      <sz val="9"/>
      <name val="돋움"/>
      <family val="3"/>
      <charset val="129"/>
    </font>
    <font>
      <sz val="10"/>
      <color rgb="FFFF0000"/>
      <name val="KB금융 본문체 Bold"/>
      <family val="3"/>
      <charset val="129"/>
    </font>
    <font>
      <b/>
      <sz val="10"/>
      <color rgb="FF0000FF"/>
      <name val="맑은 고딕"/>
      <family val="3"/>
      <charset val="129"/>
      <scheme val="minor"/>
    </font>
    <font>
      <sz val="10"/>
      <color theme="1"/>
      <name val="맑은 고딕"/>
      <family val="2"/>
      <charset val="129"/>
      <scheme val="minor"/>
    </font>
    <font>
      <b/>
      <sz val="10"/>
      <color theme="1"/>
      <name val="맑은 고딕"/>
      <family val="3"/>
      <charset val="129"/>
      <scheme val="minor"/>
    </font>
    <font>
      <sz val="10"/>
      <color theme="1"/>
      <name val="맑은 고딕"/>
      <family val="3"/>
      <charset val="129"/>
      <scheme val="minor"/>
    </font>
    <font>
      <b/>
      <sz val="10"/>
      <color rgb="FFFF0000"/>
      <name val="맑은 고딕"/>
      <family val="3"/>
      <charset val="129"/>
      <scheme val="minor"/>
    </font>
    <font>
      <b/>
      <u/>
      <sz val="10"/>
      <color rgb="FF0000FF"/>
      <name val="맑은 고딕"/>
      <family val="3"/>
      <charset val="129"/>
      <scheme val="minor"/>
    </font>
    <font>
      <b/>
      <sz val="9"/>
      <color indexed="81"/>
      <name val="돋움"/>
      <family val="3"/>
      <charset val="129"/>
    </font>
    <font>
      <sz val="9"/>
      <name val="KB금융 본문체 Light"/>
      <family val="3"/>
      <charset val="129"/>
    </font>
    <font>
      <sz val="10"/>
      <color theme="1"/>
      <name val="KB금융 본문체 Light"/>
      <family val="3"/>
      <charset val="129"/>
    </font>
    <font>
      <sz val="9"/>
      <color theme="1"/>
      <name val="KB금융 본문체 Light"/>
      <family val="3"/>
      <charset val="129"/>
    </font>
    <font>
      <b/>
      <sz val="9"/>
      <color theme="8"/>
      <name val="KB금융 본문체 Light"/>
      <family val="3"/>
      <charset val="129"/>
    </font>
    <font>
      <sz val="9"/>
      <color rgb="FFFF0000"/>
      <name val="KB금융 본문체 Light"/>
      <family val="3"/>
      <charset val="129"/>
    </font>
    <font>
      <strike/>
      <sz val="9"/>
      <color rgb="FFFF0000"/>
      <name val="KB금융 본문체 Light"/>
      <family val="3"/>
      <charset val="129"/>
    </font>
    <font>
      <sz val="10"/>
      <name val="KB금융 본문체 Light"/>
      <family val="3"/>
      <charset val="129"/>
    </font>
    <font>
      <sz val="10"/>
      <color rgb="FFFF0000"/>
      <name val="KB금융 본문체 Light"/>
      <family val="3"/>
      <charset val="129"/>
    </font>
    <font>
      <sz val="9"/>
      <color rgb="FF00B0F0"/>
      <name val="KB금융 본문체 Light"/>
      <family val="3"/>
      <charset val="129"/>
    </font>
    <font>
      <strike/>
      <sz val="9"/>
      <name val="KB금융 본문체 Light"/>
      <family val="3"/>
      <charset val="129"/>
    </font>
    <font>
      <strike/>
      <sz val="9"/>
      <color theme="1"/>
      <name val="KB금융 본문체 Light"/>
      <family val="3"/>
      <charset val="129"/>
    </font>
    <font>
      <sz val="9"/>
      <color rgb="FF0070C0"/>
      <name val="KB금융 본문체 Light"/>
      <family val="3"/>
      <charset val="129"/>
    </font>
    <font>
      <b/>
      <sz val="9"/>
      <name val="KB금융 본문체 Light"/>
      <family val="3"/>
      <charset val="129"/>
    </font>
    <font>
      <sz val="9"/>
      <color rgb="FFFF0000"/>
      <name val="KB금융 본문체 Bold"/>
      <family val="3"/>
      <charset val="129"/>
    </font>
    <font>
      <sz val="9"/>
      <color theme="1"/>
      <name val="KB금융 본문체 Bold"/>
      <family val="3"/>
      <charset val="129"/>
    </font>
    <font>
      <strike/>
      <sz val="10"/>
      <color rgb="FFFF0000"/>
      <name val="KB금융 본문체 Light"/>
      <family val="3"/>
      <charset val="129"/>
    </font>
    <font>
      <sz val="8"/>
      <name val="KB금융 본문체 Light"/>
      <family val="2"/>
      <charset val="129"/>
    </font>
    <font>
      <b/>
      <sz val="9"/>
      <name val="돋움"/>
      <family val="3"/>
      <charset val="129"/>
    </font>
    <font>
      <b/>
      <sz val="9"/>
      <color theme="1"/>
      <name val="KB금융 본문체 Light"/>
      <family val="3"/>
      <charset val="129"/>
    </font>
    <font>
      <sz val="11"/>
      <color theme="1"/>
      <name val="KB금융 본문체 Light"/>
      <family val="3"/>
      <charset val="129"/>
    </font>
    <font>
      <sz val="9"/>
      <color rgb="FF0000FF"/>
      <name val="KB금융 본문체 Light"/>
      <family val="3"/>
      <charset val="129"/>
    </font>
    <font>
      <sz val="10"/>
      <name val="KB금융 제목체 Light"/>
      <family val="3"/>
      <charset val="129"/>
    </font>
    <font>
      <b/>
      <sz val="10"/>
      <name val="KB금융 제목체 Light"/>
      <family val="3"/>
      <charset val="129"/>
    </font>
    <font>
      <b/>
      <sz val="9"/>
      <color rgb="FFFF0000"/>
      <name val="KB금융 본문체 Light"/>
      <family val="3"/>
      <charset val="129"/>
    </font>
    <font>
      <strike/>
      <sz val="10"/>
      <color theme="1"/>
      <name val="KB금융 본문체 Light"/>
      <family val="3"/>
      <charset val="129"/>
    </font>
    <font>
      <b/>
      <sz val="11"/>
      <color theme="1"/>
      <name val="KB금융 본문체 Light"/>
      <family val="3"/>
      <charset val="129"/>
    </font>
    <font>
      <b/>
      <sz val="12"/>
      <name val="KB금융 본문체 Bold"/>
      <family val="3"/>
      <charset val="129"/>
    </font>
    <font>
      <b/>
      <sz val="9"/>
      <color rgb="FF00B0F0"/>
      <name val="KB금융 본문체 Light"/>
      <family val="3"/>
      <charset val="129"/>
    </font>
    <font>
      <b/>
      <strike/>
      <sz val="9"/>
      <color theme="1"/>
      <name val="KB금융 본문체 Light"/>
      <family val="3"/>
      <charset val="129"/>
    </font>
    <font>
      <b/>
      <sz val="9"/>
      <color rgb="FF0000FF"/>
      <name val="KB금융 본문체 Light"/>
      <family val="3"/>
      <charset val="129"/>
    </font>
    <font>
      <sz val="9"/>
      <color theme="4"/>
      <name val="KB금융 본문체 Light"/>
      <family val="3"/>
      <charset val="129"/>
    </font>
    <font>
      <b/>
      <sz val="8"/>
      <name val="KB금융 본문체 Light"/>
      <family val="3"/>
      <charset val="129"/>
    </font>
    <font>
      <b/>
      <sz val="12"/>
      <color rgb="FF0000FF"/>
      <name val="KB금융 본문체 Light"/>
      <family val="3"/>
      <charset val="129"/>
    </font>
    <font>
      <strike/>
      <sz val="9"/>
      <color theme="4"/>
      <name val="KB금융 본문체 Light"/>
      <family val="3"/>
      <charset val="129"/>
    </font>
    <font>
      <sz val="8"/>
      <name val="KB금융 본문체 Light"/>
      <family val="3"/>
      <charset val="129"/>
    </font>
    <font>
      <u/>
      <sz val="9"/>
      <color theme="1"/>
      <name val="KB금융 본문체 Light"/>
      <family val="3"/>
      <charset val="129"/>
    </font>
    <font>
      <i/>
      <u/>
      <sz val="9"/>
      <color theme="1"/>
      <name val="KB금융 본문체 Light"/>
      <family val="3"/>
      <charset val="129"/>
    </font>
    <font>
      <sz val="9"/>
      <color rgb="FFFF0000"/>
      <name val="맑은 고딕"/>
      <family val="2"/>
      <charset val="129"/>
      <scheme val="minor"/>
    </font>
    <font>
      <sz val="11"/>
      <color rgb="FFFF0000"/>
      <name val="KB금융 본문체 Bold"/>
      <family val="3"/>
      <charset val="129"/>
    </font>
    <font>
      <sz val="11"/>
      <color rgb="FFFF0000"/>
      <name val="KB금융 본문체 Light"/>
      <family val="3"/>
      <charset val="129"/>
    </font>
    <font>
      <b/>
      <sz val="9"/>
      <color theme="1"/>
      <name val="KB금융 본문체 Medium"/>
      <family val="3"/>
      <charset val="129"/>
    </font>
    <font>
      <b/>
      <sz val="9"/>
      <name val="KB금융 본문체 Bold"/>
      <family val="3"/>
      <charset val="129"/>
    </font>
    <font>
      <sz val="10"/>
      <color rgb="FF0000FF"/>
      <name val="KB금융 본문체 Light"/>
      <family val="3"/>
      <charset val="129"/>
    </font>
    <font>
      <sz val="9"/>
      <color indexed="81"/>
      <name val="Tahoma"/>
      <family val="2"/>
    </font>
    <font>
      <b/>
      <sz val="9"/>
      <color indexed="81"/>
      <name val="Tahoma"/>
      <family val="2"/>
    </font>
    <font>
      <sz val="9"/>
      <color indexed="81"/>
      <name val="돋움"/>
      <family val="3"/>
      <charset val="129"/>
    </font>
    <font>
      <b/>
      <sz val="10"/>
      <color rgb="FF0000FF"/>
      <name val="KB금융 본문체 Light"/>
      <family val="3"/>
      <charset val="129"/>
    </font>
    <font>
      <sz val="10"/>
      <color rgb="FF000000"/>
      <name val="KB금융 본문체 Light"/>
      <family val="3"/>
      <charset val="129"/>
    </font>
    <font>
      <b/>
      <sz val="10"/>
      <color rgb="FFFF0000"/>
      <name val="KB금융 본문체 Light"/>
      <family val="3"/>
      <charset val="129"/>
    </font>
    <font>
      <sz val="12"/>
      <name val="KB금융 본문체 Medium"/>
      <family val="3"/>
      <charset val="129"/>
    </font>
  </fonts>
  <fills count="4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tint="0.59999389629810485"/>
        <bgColor theme="4" tint="0.79998168889431442"/>
      </patternFill>
    </fill>
    <fill>
      <patternFill patternType="solid">
        <fgColor theme="6" tint="0.39997558519241921"/>
        <bgColor indexed="64"/>
      </patternFill>
    </fill>
    <fill>
      <patternFill patternType="solid">
        <fgColor theme="6" tint="0.3999450666829432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6" tint="0.59999389629810485"/>
        <bgColor theme="6" tint="0.59999389629810485"/>
      </patternFill>
    </fill>
  </fills>
  <borders count="21">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s>
  <cellStyleXfs count="55">
    <xf numFmtId="0" fontId="0" fillId="0" borderId="0"/>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5"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1" fillId="12"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2" fillId="0" borderId="0" applyNumberFormat="0" applyFill="0" applyBorder="0" applyAlignment="0" applyProtection="0">
      <alignment vertical="center"/>
    </xf>
    <xf numFmtId="0" fontId="13" fillId="20" borderId="1" applyNumberFormat="0" applyAlignment="0" applyProtection="0">
      <alignment vertical="center"/>
    </xf>
    <xf numFmtId="0" fontId="14" fillId="3" borderId="0" applyNumberFormat="0" applyBorder="0" applyAlignment="0" applyProtection="0">
      <alignment vertical="center"/>
    </xf>
    <xf numFmtId="0" fontId="2" fillId="21" borderId="2" applyNumberFormat="0" applyFont="0" applyAlignment="0" applyProtection="0">
      <alignment vertical="center"/>
    </xf>
    <xf numFmtId="0" fontId="15" fillId="22" borderId="0" applyNumberFormat="0" applyBorder="0" applyAlignment="0" applyProtection="0">
      <alignment vertical="center"/>
    </xf>
    <xf numFmtId="0" fontId="16" fillId="0" borderId="0" applyNumberFormat="0" applyFill="0" applyBorder="0" applyAlignment="0" applyProtection="0">
      <alignment vertical="center"/>
    </xf>
    <xf numFmtId="0" fontId="17" fillId="23" borderId="3" applyNumberFormat="0" applyAlignment="0" applyProtection="0">
      <alignment vertical="center"/>
    </xf>
    <xf numFmtId="0" fontId="9" fillId="0" borderId="0"/>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20" fillId="7" borderId="1" applyNumberFormat="0" applyAlignment="0" applyProtection="0">
      <alignment vertical="center"/>
    </xf>
    <xf numFmtId="0" fontId="21" fillId="0" borderId="0" applyNumberFormat="0" applyFill="0" applyBorder="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4" fillId="0" borderId="0" applyNumberFormat="0" applyFill="0" applyBorder="0" applyAlignment="0" applyProtection="0">
      <alignment vertical="center"/>
    </xf>
    <xf numFmtId="0" fontId="25" fillId="4" borderId="0" applyNumberFormat="0" applyBorder="0" applyAlignment="0" applyProtection="0">
      <alignment vertical="center"/>
    </xf>
    <xf numFmtId="0" fontId="26" fillId="20" borderId="9" applyNumberFormat="0" applyAlignment="0" applyProtection="0">
      <alignment vertical="center"/>
    </xf>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8" fillId="0" borderId="0">
      <alignment vertical="center"/>
    </xf>
    <xf numFmtId="0" fontId="28" fillId="0" borderId="0">
      <alignment vertical="center"/>
    </xf>
    <xf numFmtId="9" fontId="2" fillId="0" borderId="0" applyFont="0" applyFill="0" applyBorder="0" applyAlignment="0" applyProtection="0">
      <alignment vertical="center"/>
    </xf>
    <xf numFmtId="0" fontId="2" fillId="0" borderId="0"/>
    <xf numFmtId="0" fontId="28" fillId="0" borderId="0">
      <alignment vertical="center"/>
    </xf>
    <xf numFmtId="0" fontId="2" fillId="0" borderId="0"/>
  </cellStyleXfs>
  <cellXfs count="367">
    <xf numFmtId="0" fontId="0" fillId="0" borderId="0" xfId="0" applyAlignment="1">
      <alignment vertical="center"/>
    </xf>
    <xf numFmtId="0" fontId="4" fillId="0" borderId="0" xfId="43" applyFont="1"/>
    <xf numFmtId="0" fontId="8" fillId="0" borderId="0" xfId="46"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46" applyFont="1" applyFill="1" applyBorder="1" applyAlignment="1">
      <alignment horizontal="center" vertical="center"/>
    </xf>
    <xf numFmtId="0" fontId="8" fillId="0" borderId="0" xfId="46" applyFont="1" applyBorder="1">
      <alignment vertical="center"/>
    </xf>
    <xf numFmtId="0" fontId="4" fillId="0" borderId="0" xfId="48" applyFont="1" applyBorder="1">
      <alignment vertical="center"/>
    </xf>
    <xf numFmtId="0" fontId="4" fillId="0" borderId="0" xfId="48" applyFont="1" applyBorder="1" applyAlignment="1">
      <alignment wrapText="1" shrinkToFit="1"/>
    </xf>
    <xf numFmtId="0" fontId="4" fillId="0" borderId="0" xfId="48" applyFont="1" applyFill="1" applyBorder="1" applyAlignment="1">
      <alignment horizontal="center" vertical="center" wrapText="1"/>
    </xf>
    <xf numFmtId="0" fontId="4" fillId="0" borderId="0" xfId="45" applyFont="1"/>
    <xf numFmtId="0" fontId="7" fillId="0" borderId="0" xfId="47" applyFont="1" applyBorder="1" applyAlignment="1">
      <alignment horizontal="center" vertical="center"/>
    </xf>
    <xf numFmtId="0" fontId="8" fillId="0" borderId="0" xfId="47" applyFont="1" applyBorder="1">
      <alignment vertical="center"/>
    </xf>
    <xf numFmtId="0" fontId="8" fillId="0" borderId="0" xfId="44" applyFont="1"/>
    <xf numFmtId="0" fontId="8" fillId="0" borderId="0" xfId="47" applyFont="1" applyBorder="1" applyAlignment="1">
      <alignment vertical="center"/>
    </xf>
    <xf numFmtId="0" fontId="8" fillId="0" borderId="0" xfId="47" applyFont="1" applyBorder="1" applyAlignment="1">
      <alignment vertical="center" wrapText="1" shrinkToFit="1"/>
    </xf>
    <xf numFmtId="0" fontId="4" fillId="0" borderId="0" xfId="43" applyFont="1" applyAlignment="1">
      <alignment vertical="center"/>
    </xf>
    <xf numFmtId="0" fontId="8" fillId="0" borderId="0" xfId="44" applyFont="1" applyAlignment="1">
      <alignment vertical="center"/>
    </xf>
    <xf numFmtId="0" fontId="8" fillId="0" borderId="0" xfId="47" applyFont="1" applyBorder="1" applyAlignment="1">
      <alignment horizontal="center" vertical="center"/>
    </xf>
    <xf numFmtId="0" fontId="8" fillId="0" borderId="0" xfId="0" applyFont="1" applyBorder="1" applyAlignment="1">
      <alignment vertical="center"/>
    </xf>
    <xf numFmtId="0" fontId="5" fillId="0" borderId="0" xfId="46" applyFont="1" applyBorder="1" applyAlignment="1">
      <alignment vertical="center"/>
    </xf>
    <xf numFmtId="0" fontId="4" fillId="0" borderId="0" xfId="46" applyFont="1" applyBorder="1" applyAlignment="1">
      <alignment vertical="center" wrapText="1" shrinkToFit="1"/>
    </xf>
    <xf numFmtId="0" fontId="4" fillId="0" borderId="0" xfId="46" applyFont="1" applyBorder="1" applyAlignment="1">
      <alignment vertical="center"/>
    </xf>
    <xf numFmtId="0" fontId="27" fillId="0" borderId="0" xfId="46" applyFont="1" applyFill="1" applyBorder="1" applyAlignment="1">
      <alignment horizontal="center" vertical="top"/>
    </xf>
    <xf numFmtId="0" fontId="6" fillId="0" borderId="0" xfId="46" applyFont="1" applyFill="1" applyBorder="1" applyAlignment="1">
      <alignment horizontal="center" vertical="center"/>
    </xf>
    <xf numFmtId="0" fontId="31" fillId="0" borderId="0" xfId="47" applyFont="1" applyBorder="1" applyAlignment="1">
      <alignment vertical="center"/>
    </xf>
    <xf numFmtId="0" fontId="31" fillId="0" borderId="0" xfId="44" applyFont="1" applyAlignment="1">
      <alignment vertical="center"/>
    </xf>
    <xf numFmtId="0" fontId="31" fillId="0" borderId="0" xfId="43" applyFont="1" applyAlignment="1">
      <alignment vertical="center"/>
    </xf>
    <xf numFmtId="0" fontId="35" fillId="0" borderId="0" xfId="44" applyFont="1" applyBorder="1" applyAlignment="1">
      <alignment horizontal="center" vertical="center"/>
    </xf>
    <xf numFmtId="0" fontId="35" fillId="0" borderId="0" xfId="0" applyFont="1" applyBorder="1" applyAlignment="1">
      <alignment horizontal="left" vertical="center"/>
    </xf>
    <xf numFmtId="0" fontId="35" fillId="0" borderId="0" xfId="47" applyFont="1" applyBorder="1" applyAlignment="1">
      <alignment horizontal="left" vertical="center"/>
    </xf>
    <xf numFmtId="0" fontId="31" fillId="0" borderId="0" xfId="47" applyFont="1" applyBorder="1" applyAlignment="1">
      <alignment vertical="center" wrapText="1" shrinkToFit="1"/>
    </xf>
    <xf numFmtId="0" fontId="30" fillId="0" borderId="0" xfId="48" applyFont="1" applyBorder="1" applyAlignment="1">
      <alignment wrapText="1" shrinkToFit="1"/>
    </xf>
    <xf numFmtId="0" fontId="30" fillId="0" borderId="0" xfId="48" applyFont="1" applyBorder="1">
      <alignment vertical="center"/>
    </xf>
    <xf numFmtId="0" fontId="30" fillId="0" borderId="0" xfId="48" applyFont="1" applyFill="1" applyBorder="1" applyAlignment="1">
      <alignment horizontal="center" vertical="center" wrapText="1"/>
    </xf>
    <xf numFmtId="0" fontId="30" fillId="0" borderId="0" xfId="45" applyFont="1"/>
    <xf numFmtId="14" fontId="39" fillId="0" borderId="10" xfId="48" applyNumberFormat="1" applyFont="1" applyBorder="1" applyAlignment="1">
      <alignment horizontal="center" vertical="center"/>
    </xf>
    <xf numFmtId="49" fontId="39" fillId="0" borderId="11" xfId="48" applyNumberFormat="1" applyFont="1" applyBorder="1" applyAlignment="1">
      <alignment horizontal="center" vertical="center" wrapText="1" shrinkToFit="1"/>
    </xf>
    <xf numFmtId="0" fontId="38" fillId="0" borderId="10" xfId="50" applyFont="1" applyFill="1" applyBorder="1" applyAlignment="1">
      <alignment horizontal="left" vertical="center" wrapText="1"/>
    </xf>
    <xf numFmtId="0" fontId="38" fillId="0" borderId="10" xfId="50" applyFont="1" applyFill="1" applyBorder="1" applyAlignment="1">
      <alignment horizontal="center" vertical="center" wrapText="1"/>
    </xf>
    <xf numFmtId="0" fontId="36" fillId="0" borderId="0" xfId="0" applyFont="1" applyAlignment="1">
      <alignment vertical="center"/>
    </xf>
    <xf numFmtId="0" fontId="45" fillId="24" borderId="10" xfId="48" applyFont="1" applyFill="1" applyBorder="1" applyAlignment="1">
      <alignment horizontal="center" vertical="center"/>
    </xf>
    <xf numFmtId="0" fontId="45" fillId="24" borderId="11" xfId="48" applyFont="1" applyFill="1" applyBorder="1" applyAlignment="1">
      <alignment horizontal="center" vertical="center" wrapText="1" shrinkToFit="1"/>
    </xf>
    <xf numFmtId="0" fontId="44" fillId="0" borderId="0" xfId="45" applyFont="1"/>
    <xf numFmtId="0" fontId="46" fillId="0" borderId="0" xfId="45" applyFont="1"/>
    <xf numFmtId="0" fontId="40" fillId="26" borderId="10" xfId="50" applyFont="1" applyFill="1" applyBorder="1" applyAlignment="1">
      <alignment horizontal="center" vertical="center" wrapText="1"/>
    </xf>
    <xf numFmtId="0" fontId="40" fillId="26" borderId="11" xfId="50" applyFont="1" applyFill="1" applyBorder="1" applyAlignment="1">
      <alignment horizontal="center" vertical="center" wrapText="1"/>
    </xf>
    <xf numFmtId="0" fontId="40" fillId="26" borderId="13" xfId="50" applyFont="1" applyFill="1" applyBorder="1" applyAlignment="1">
      <alignment horizontal="center" vertical="center" wrapText="1"/>
    </xf>
    <xf numFmtId="0" fontId="41" fillId="26" borderId="10" xfId="50" applyFont="1" applyFill="1" applyBorder="1" applyAlignment="1">
      <alignment horizontal="center" vertical="center" wrapText="1"/>
    </xf>
    <xf numFmtId="0" fontId="50" fillId="0" borderId="10" xfId="50" applyFont="1" applyFill="1" applyBorder="1" applyAlignment="1">
      <alignment horizontal="center" vertical="center" wrapText="1"/>
    </xf>
    <xf numFmtId="0" fontId="50" fillId="0" borderId="10" xfId="50" applyFont="1" applyFill="1" applyBorder="1" applyAlignment="1">
      <alignment horizontal="left" vertical="center" wrapText="1"/>
    </xf>
    <xf numFmtId="0" fontId="38" fillId="0" borderId="0" xfId="0" applyFont="1" applyFill="1" applyAlignment="1">
      <alignment vertical="center"/>
    </xf>
    <xf numFmtId="0" fontId="36" fillId="0" borderId="0" xfId="0" applyFont="1" applyAlignment="1">
      <alignment horizontal="center" vertical="center" wrapText="1"/>
    </xf>
    <xf numFmtId="0" fontId="36" fillId="0" borderId="0" xfId="0" applyFont="1" applyAlignment="1">
      <alignment vertical="center" wrapText="1"/>
    </xf>
    <xf numFmtId="0" fontId="50" fillId="0" borderId="10" xfId="0" applyFont="1" applyFill="1" applyBorder="1" applyAlignment="1">
      <alignment horizontal="center" vertical="center" wrapText="1"/>
    </xf>
    <xf numFmtId="0" fontId="38" fillId="0" borderId="10" xfId="0" applyFont="1" applyFill="1" applyBorder="1" applyAlignment="1">
      <alignment horizontal="center" vertical="center" wrapText="1"/>
    </xf>
    <xf numFmtId="0" fontId="52" fillId="0" borderId="0" xfId="0" applyFont="1" applyAlignment="1">
      <alignment horizontal="center" vertical="center"/>
    </xf>
    <xf numFmtId="0" fontId="53" fillId="26" borderId="10" xfId="0" applyFont="1" applyFill="1" applyBorder="1" applyAlignment="1">
      <alignment horizontal="center" vertical="center"/>
    </xf>
    <xf numFmtId="0" fontId="53" fillId="0" borderId="0" xfId="0" applyFont="1" applyAlignment="1">
      <alignment horizontal="center" vertical="center"/>
    </xf>
    <xf numFmtId="0" fontId="53" fillId="29" borderId="10" xfId="0" applyFont="1" applyFill="1" applyBorder="1" applyAlignment="1">
      <alignment horizontal="center" vertical="center"/>
    </xf>
    <xf numFmtId="0" fontId="53" fillId="0" borderId="10" xfId="0" quotePrefix="1" applyFont="1" applyFill="1" applyBorder="1" applyAlignment="1">
      <alignment horizontal="center" vertical="center"/>
    </xf>
    <xf numFmtId="0" fontId="54" fillId="0" borderId="10" xfId="0" applyFont="1" applyFill="1" applyBorder="1" applyAlignment="1">
      <alignment horizontal="center" vertical="center"/>
    </xf>
    <xf numFmtId="0" fontId="52" fillId="0" borderId="10" xfId="0" applyFont="1" applyBorder="1" applyAlignment="1">
      <alignment horizontal="center" vertical="center"/>
    </xf>
    <xf numFmtId="0" fontId="53" fillId="0" borderId="0" xfId="0" applyFont="1" applyFill="1" applyAlignment="1">
      <alignment horizontal="center" vertical="center"/>
    </xf>
    <xf numFmtId="0" fontId="53" fillId="0" borderId="10" xfId="0" applyFont="1" applyFill="1" applyBorder="1" applyAlignment="1">
      <alignment horizontal="center" vertical="center"/>
    </xf>
    <xf numFmtId="0" fontId="52" fillId="28" borderId="10" xfId="0" applyFont="1" applyFill="1" applyBorder="1" applyAlignment="1">
      <alignment horizontal="center" vertical="center"/>
    </xf>
    <xf numFmtId="0" fontId="52" fillId="30" borderId="10" xfId="0" applyFont="1" applyFill="1" applyBorder="1" applyAlignment="1">
      <alignment horizontal="center" vertical="center"/>
    </xf>
    <xf numFmtId="0" fontId="52" fillId="0" borderId="10" xfId="0" quotePrefix="1" applyFont="1" applyBorder="1" applyAlignment="1">
      <alignment horizontal="center" vertical="center"/>
    </xf>
    <xf numFmtId="0" fontId="52" fillId="31" borderId="10" xfId="0" applyFont="1" applyFill="1" applyBorder="1" applyAlignment="1">
      <alignment horizontal="center" vertical="center"/>
    </xf>
    <xf numFmtId="0" fontId="52" fillId="32" borderId="10" xfId="0" applyFont="1" applyFill="1" applyBorder="1" applyAlignment="1">
      <alignment horizontal="center" vertical="center"/>
    </xf>
    <xf numFmtId="0" fontId="52" fillId="33" borderId="10" xfId="0" applyFont="1" applyFill="1" applyBorder="1" applyAlignment="1">
      <alignment horizontal="center" vertical="center"/>
    </xf>
    <xf numFmtId="0" fontId="38" fillId="0" borderId="10" xfId="0" applyFont="1" applyFill="1" applyBorder="1" applyAlignment="1">
      <alignment vertical="center"/>
    </xf>
    <xf numFmtId="0" fontId="58" fillId="0" borderId="10" xfId="0" applyFont="1" applyFill="1" applyBorder="1" applyAlignment="1">
      <alignment horizontal="center" vertical="center"/>
    </xf>
    <xf numFmtId="0" fontId="58" fillId="0" borderId="10" xfId="0" applyFont="1" applyBorder="1" applyAlignment="1">
      <alignment horizontal="center" vertical="center"/>
    </xf>
    <xf numFmtId="0" fontId="60" fillId="0" borderId="10" xfId="0" applyFont="1" applyFill="1" applyBorder="1" applyAlignment="1">
      <alignment horizontal="left" vertical="center"/>
    </xf>
    <xf numFmtId="0" fontId="58" fillId="0" borderId="10" xfId="50" applyFont="1" applyFill="1" applyBorder="1" applyAlignment="1">
      <alignment horizontal="left" vertical="center" wrapText="1"/>
    </xf>
    <xf numFmtId="0" fontId="58" fillId="0" borderId="10" xfId="0" quotePrefix="1" applyFont="1" applyFill="1" applyBorder="1" applyAlignment="1">
      <alignment horizontal="left" vertical="center" wrapText="1"/>
    </xf>
    <xf numFmtId="0" fontId="60" fillId="0" borderId="10" xfId="0" applyFont="1" applyFill="1" applyBorder="1" applyAlignment="1">
      <alignment horizontal="left" vertical="center" wrapText="1"/>
    </xf>
    <xf numFmtId="0" fontId="60" fillId="25" borderId="10" xfId="0" applyFont="1" applyFill="1" applyBorder="1" applyAlignment="1">
      <alignment horizontal="left" vertical="center" wrapText="1"/>
    </xf>
    <xf numFmtId="0" fontId="58" fillId="0" borderId="10" xfId="50" applyFont="1" applyFill="1" applyBorder="1" applyAlignment="1">
      <alignment vertical="center" wrapText="1"/>
    </xf>
    <xf numFmtId="0" fontId="58" fillId="0" borderId="10" xfId="0" applyFont="1" applyFill="1" applyBorder="1" applyAlignment="1">
      <alignment horizontal="left" vertical="center"/>
    </xf>
    <xf numFmtId="0" fontId="60" fillId="0" borderId="10" xfId="0" applyFont="1" applyFill="1" applyBorder="1" applyAlignment="1">
      <alignment vertical="center" wrapText="1"/>
    </xf>
    <xf numFmtId="0" fontId="58" fillId="0" borderId="10" xfId="50" applyFont="1" applyFill="1" applyBorder="1" applyAlignment="1">
      <alignment horizontal="center" vertical="center" wrapText="1"/>
    </xf>
    <xf numFmtId="0" fontId="58" fillId="25" borderId="10" xfId="50" applyFont="1" applyFill="1" applyBorder="1" applyAlignment="1">
      <alignment horizontal="center" vertical="center" wrapText="1"/>
    </xf>
    <xf numFmtId="0" fontId="62" fillId="0" borderId="10" xfId="50" applyFont="1" applyFill="1" applyBorder="1" applyAlignment="1">
      <alignment horizontal="center" vertical="center" wrapText="1"/>
    </xf>
    <xf numFmtId="0" fontId="58" fillId="0" borderId="10" xfId="0" quotePrefix="1" applyFont="1" applyFill="1" applyBorder="1" applyAlignment="1">
      <alignment horizontal="center" vertical="center" wrapText="1"/>
    </xf>
    <xf numFmtId="0" fontId="58" fillId="0" borderId="10" xfId="0" applyFont="1" applyFill="1" applyBorder="1" applyAlignment="1">
      <alignment horizontal="left" vertical="center" wrapText="1"/>
    </xf>
    <xf numFmtId="0" fontId="58" fillId="25" borderId="10" xfId="0" applyFont="1" applyFill="1" applyBorder="1" applyAlignment="1">
      <alignment horizontal="left" vertical="center" wrapText="1"/>
    </xf>
    <xf numFmtId="0" fontId="60" fillId="0" borderId="10" xfId="0" quotePrefix="1" applyFont="1" applyFill="1" applyBorder="1" applyAlignment="1">
      <alignment horizontal="left" vertical="center" wrapText="1"/>
    </xf>
    <xf numFmtId="0" fontId="59" fillId="0" borderId="10" xfId="0" quotePrefix="1" applyFont="1" applyFill="1" applyBorder="1" applyAlignment="1">
      <alignment horizontal="left" vertical="center" wrapText="1"/>
    </xf>
    <xf numFmtId="0" fontId="60" fillId="25" borderId="10" xfId="0" quotePrefix="1" applyFont="1" applyFill="1" applyBorder="1" applyAlignment="1">
      <alignment horizontal="left" vertical="center" wrapText="1"/>
    </xf>
    <xf numFmtId="0" fontId="58" fillId="0" borderId="10" xfId="50" quotePrefix="1" applyFont="1" applyFill="1" applyBorder="1" applyAlignment="1">
      <alignment horizontal="left" vertical="center" wrapText="1"/>
    </xf>
    <xf numFmtId="0" fontId="66" fillId="0" borderId="10" xfId="0" quotePrefix="1" applyFont="1" applyFill="1" applyBorder="1" applyAlignment="1">
      <alignment horizontal="left" vertical="center" wrapText="1"/>
    </xf>
    <xf numFmtId="0" fontId="62" fillId="0" borderId="10" xfId="0" quotePrefix="1" applyFont="1" applyFill="1" applyBorder="1" applyAlignment="1">
      <alignment horizontal="left" vertical="center" wrapText="1"/>
    </xf>
    <xf numFmtId="0" fontId="63" fillId="0" borderId="10" xfId="0" quotePrefix="1" applyFont="1" applyFill="1" applyBorder="1" applyAlignment="1">
      <alignment horizontal="left" vertical="center" wrapText="1"/>
    </xf>
    <xf numFmtId="0" fontId="63" fillId="0" borderId="10" xfId="50" quotePrefix="1" applyFont="1" applyFill="1" applyBorder="1" applyAlignment="1">
      <alignment horizontal="left" vertical="center" wrapText="1"/>
    </xf>
    <xf numFmtId="0" fontId="60" fillId="0" borderId="10" xfId="0" applyFont="1" applyFill="1" applyBorder="1" applyAlignment="1">
      <alignment horizontal="center" vertical="center" wrapText="1"/>
    </xf>
    <xf numFmtId="0" fontId="60" fillId="25" borderId="10" xfId="0" applyFont="1" applyFill="1" applyBorder="1" applyAlignment="1">
      <alignment horizontal="center" vertical="center" wrapText="1"/>
    </xf>
    <xf numFmtId="0" fontId="58" fillId="0" borderId="10" xfId="0" applyFont="1" applyFill="1" applyBorder="1" applyAlignment="1">
      <alignment horizontal="center" vertical="center" wrapText="1"/>
    </xf>
    <xf numFmtId="0" fontId="58" fillId="0" borderId="10" xfId="0" applyFont="1" applyBorder="1" applyAlignment="1">
      <alignment vertical="center" wrapText="1"/>
    </xf>
    <xf numFmtId="0" fontId="58" fillId="0" borderId="10" xfId="0" applyFont="1" applyFill="1" applyBorder="1" applyAlignment="1">
      <alignment vertical="center" wrapText="1"/>
    </xf>
    <xf numFmtId="0" fontId="64" fillId="0" borderId="10" xfId="0" applyFont="1" applyFill="1" applyBorder="1" applyAlignment="1">
      <alignment horizontal="left" vertical="center" wrapText="1"/>
    </xf>
    <xf numFmtId="0" fontId="58" fillId="0" borderId="0" xfId="0" applyFont="1" applyAlignment="1">
      <alignment horizontal="center" vertical="center"/>
    </xf>
    <xf numFmtId="0" fontId="68" fillId="0" borderId="10" xfId="0" quotePrefix="1" applyFont="1" applyFill="1" applyBorder="1" applyAlignment="1">
      <alignment horizontal="left" vertical="center" wrapText="1"/>
    </xf>
    <xf numFmtId="0" fontId="64" fillId="0" borderId="10" xfId="50" applyFont="1" applyFill="1" applyBorder="1" applyAlignment="1">
      <alignment horizontal="center" vertical="center" wrapText="1"/>
    </xf>
    <xf numFmtId="0" fontId="64" fillId="0" borderId="0" xfId="0" applyFont="1" applyAlignment="1">
      <alignment horizontal="center" vertical="center"/>
    </xf>
    <xf numFmtId="0" fontId="58" fillId="0" borderId="0" xfId="0" applyFont="1" applyAlignment="1">
      <alignment vertical="center"/>
    </xf>
    <xf numFmtId="0" fontId="58" fillId="34" borderId="10" xfId="0" applyFont="1" applyFill="1" applyBorder="1" applyAlignment="1">
      <alignment horizontal="center" vertical="center" wrapText="1"/>
    </xf>
    <xf numFmtId="0" fontId="64" fillId="0" borderId="10" xfId="50" applyFont="1" applyFill="1" applyBorder="1" applyAlignment="1">
      <alignment horizontal="left" vertical="center" wrapText="1"/>
    </xf>
    <xf numFmtId="0" fontId="64" fillId="0" borderId="10" xfId="50" applyFont="1" applyFill="1" applyBorder="1" applyAlignment="1">
      <alignment vertical="center" wrapText="1"/>
    </xf>
    <xf numFmtId="0" fontId="59" fillId="0" borderId="10" xfId="0" applyFont="1" applyFill="1" applyBorder="1" applyAlignment="1">
      <alignment horizontal="center" vertical="center" wrapText="1"/>
    </xf>
    <xf numFmtId="0" fontId="59" fillId="0" borderId="10" xfId="50" applyFont="1" applyFill="1" applyBorder="1" applyAlignment="1">
      <alignment vertical="center" wrapText="1"/>
    </xf>
    <xf numFmtId="0" fontId="64" fillId="0" borderId="10" xfId="0" quotePrefix="1" applyFont="1" applyFill="1" applyBorder="1" applyAlignment="1">
      <alignment horizontal="left" vertical="center" wrapText="1"/>
    </xf>
    <xf numFmtId="0" fontId="43" fillId="0" borderId="10" xfId="50" applyFont="1" applyFill="1" applyBorder="1" applyAlignment="1">
      <alignment vertical="center" wrapText="1"/>
    </xf>
    <xf numFmtId="0" fontId="70" fillId="35" borderId="0" xfId="0" applyFont="1" applyFill="1" applyAlignment="1">
      <alignment horizontal="left" vertical="center"/>
    </xf>
    <xf numFmtId="0" fontId="58" fillId="26" borderId="10" xfId="0" applyFont="1" applyFill="1" applyBorder="1" applyAlignment="1">
      <alignment horizontal="center" vertical="center"/>
    </xf>
    <xf numFmtId="0" fontId="58" fillId="26" borderId="10" xfId="0" applyFont="1" applyFill="1" applyBorder="1" applyAlignment="1">
      <alignment horizontal="center" vertical="center" wrapText="1"/>
    </xf>
    <xf numFmtId="0" fontId="49" fillId="0" borderId="10" xfId="0" applyFont="1" applyBorder="1" applyAlignment="1">
      <alignment horizontal="center" vertical="center"/>
    </xf>
    <xf numFmtId="9" fontId="58" fillId="36" borderId="10" xfId="0" applyNumberFormat="1" applyFont="1" applyFill="1" applyBorder="1" applyAlignment="1">
      <alignment horizontal="center" vertical="center"/>
    </xf>
    <xf numFmtId="0" fontId="76" fillId="38" borderId="10" xfId="0" applyFont="1" applyFill="1" applyBorder="1" applyAlignment="1">
      <alignment horizontal="center" vertical="center"/>
    </xf>
    <xf numFmtId="0" fontId="70" fillId="36" borderId="10" xfId="0" applyFont="1" applyFill="1" applyBorder="1" applyAlignment="1">
      <alignment horizontal="center" vertical="center"/>
    </xf>
    <xf numFmtId="9" fontId="70" fillId="36" borderId="10" xfId="0" applyNumberFormat="1" applyFont="1" applyFill="1" applyBorder="1" applyAlignment="1">
      <alignment horizontal="center" vertical="center"/>
    </xf>
    <xf numFmtId="9" fontId="49" fillId="0" borderId="10" xfId="0" applyNumberFormat="1" applyFont="1" applyBorder="1" applyAlignment="1">
      <alignment horizontal="center" vertical="center"/>
    </xf>
    <xf numFmtId="0" fontId="75" fillId="39" borderId="10" xfId="0" applyFont="1" applyFill="1" applyBorder="1" applyAlignment="1">
      <alignment horizontal="center" vertical="center"/>
    </xf>
    <xf numFmtId="9" fontId="75" fillId="39" borderId="10" xfId="0" applyNumberFormat="1" applyFont="1" applyFill="1" applyBorder="1" applyAlignment="1">
      <alignment horizontal="center" vertical="center"/>
    </xf>
    <xf numFmtId="0" fontId="38" fillId="27" borderId="10" xfId="0" applyFont="1" applyFill="1" applyBorder="1" applyAlignment="1">
      <alignment horizontal="center" vertical="center" wrapText="1"/>
    </xf>
    <xf numFmtId="0" fontId="59" fillId="0" borderId="10" xfId="0" applyFont="1" applyFill="1" applyBorder="1" applyAlignment="1">
      <alignment horizontal="left" vertical="center" wrapText="1"/>
    </xf>
    <xf numFmtId="0" fontId="62" fillId="30" borderId="10" xfId="0" quotePrefix="1" applyFont="1" applyFill="1" applyBorder="1" applyAlignment="1">
      <alignment horizontal="center" vertical="center" wrapText="1"/>
    </xf>
    <xf numFmtId="0" fontId="60" fillId="0" borderId="10" xfId="0" quotePrefix="1" applyFont="1" applyFill="1" applyBorder="1" applyAlignment="1">
      <alignment horizontal="center" vertical="center" wrapText="1"/>
    </xf>
    <xf numFmtId="0" fontId="62" fillId="30" borderId="10" xfId="0" applyFont="1" applyFill="1" applyBorder="1" applyAlignment="1">
      <alignment horizontal="center" vertical="center" wrapText="1"/>
    </xf>
    <xf numFmtId="0" fontId="58" fillId="0" borderId="10" xfId="0" applyFont="1" applyBorder="1" applyAlignment="1">
      <alignment horizontal="center" vertical="center" wrapText="1"/>
    </xf>
    <xf numFmtId="0" fontId="58" fillId="30" borderId="10" xfId="0" applyFont="1" applyFill="1" applyBorder="1" applyAlignment="1">
      <alignment horizontal="center" vertical="center" wrapText="1"/>
    </xf>
    <xf numFmtId="0" fontId="64" fillId="0" borderId="11" xfId="50" applyFont="1" applyFill="1" applyBorder="1" applyAlignment="1">
      <alignment horizontal="center" vertical="center" wrapText="1"/>
    </xf>
    <xf numFmtId="0" fontId="64" fillId="0" borderId="10" xfId="0" quotePrefix="1" applyFont="1" applyFill="1" applyBorder="1" applyAlignment="1">
      <alignment horizontal="center" vertical="center" wrapText="1"/>
    </xf>
    <xf numFmtId="0" fontId="64" fillId="0" borderId="10" xfId="50" quotePrefix="1" applyFont="1" applyFill="1" applyBorder="1" applyAlignment="1">
      <alignment horizontal="center" vertical="center" wrapText="1"/>
    </xf>
    <xf numFmtId="0" fontId="64" fillId="0" borderId="10" xfId="0" applyFont="1" applyFill="1" applyBorder="1" applyAlignment="1">
      <alignment vertical="center" wrapText="1"/>
    </xf>
    <xf numFmtId="0" fontId="64" fillId="0" borderId="10" xfId="50" quotePrefix="1" applyFont="1" applyFill="1" applyBorder="1" applyAlignment="1">
      <alignment horizontal="left" vertical="center" wrapText="1"/>
    </xf>
    <xf numFmtId="0" fontId="59" fillId="0" borderId="10" xfId="50" quotePrefix="1" applyFont="1" applyFill="1" applyBorder="1" applyAlignment="1">
      <alignment horizontal="left" vertical="center" wrapText="1"/>
    </xf>
    <xf numFmtId="0" fontId="64" fillId="0" borderId="10" xfId="0" applyFont="1" applyFill="1" applyBorder="1" applyAlignment="1">
      <alignment horizontal="center" vertical="center" wrapText="1"/>
    </xf>
    <xf numFmtId="0" fontId="59" fillId="0" borderId="13" xfId="50" applyFont="1" applyFill="1" applyBorder="1" applyAlignment="1">
      <alignment horizontal="left" vertical="center" wrapText="1"/>
    </xf>
    <xf numFmtId="0" fontId="77" fillId="0" borderId="10" xfId="50" applyFont="1" applyFill="1" applyBorder="1" applyAlignment="1">
      <alignment vertical="center" wrapText="1"/>
    </xf>
    <xf numFmtId="0" fontId="59" fillId="0" borderId="10" xfId="50" applyFont="1" applyFill="1" applyBorder="1" applyAlignment="1">
      <alignment horizontal="center" vertical="center" wrapText="1"/>
    </xf>
    <xf numFmtId="0" fontId="59" fillId="0" borderId="13" xfId="50" applyFont="1" applyFill="1" applyBorder="1" applyAlignment="1">
      <alignment horizontal="center" vertical="center" wrapText="1"/>
    </xf>
    <xf numFmtId="0" fontId="59" fillId="0" borderId="10" xfId="50" applyFont="1" applyFill="1" applyBorder="1" applyAlignment="1">
      <alignment horizontal="left" vertical="center" wrapText="1"/>
    </xf>
    <xf numFmtId="0" fontId="62" fillId="0" borderId="10" xfId="0" applyFont="1" applyFill="1" applyBorder="1" applyAlignment="1">
      <alignment vertical="center" wrapText="1"/>
    </xf>
    <xf numFmtId="0" fontId="65" fillId="0" borderId="10" xfId="0" applyFont="1" applyFill="1" applyBorder="1" applyAlignment="1">
      <alignment vertical="center" wrapText="1"/>
    </xf>
    <xf numFmtId="0" fontId="80" fillId="0" borderId="10" xfId="50" applyFont="1" applyFill="1" applyBorder="1" applyAlignment="1">
      <alignment horizontal="center" vertical="center" wrapText="1"/>
    </xf>
    <xf numFmtId="0" fontId="62" fillId="0" borderId="10" xfId="0" quotePrefix="1" applyFont="1" applyFill="1" applyBorder="1" applyAlignment="1">
      <alignment vertical="center" wrapText="1"/>
    </xf>
    <xf numFmtId="0" fontId="62" fillId="0" borderId="10" xfId="0" quotePrefix="1" applyFont="1" applyFill="1" applyBorder="1" applyAlignment="1">
      <alignment horizontal="center" vertical="center" wrapText="1"/>
    </xf>
    <xf numFmtId="0" fontId="81" fillId="0" borderId="10" xfId="0" quotePrefix="1" applyFont="1" applyFill="1" applyBorder="1" applyAlignment="1">
      <alignment horizontal="left" vertical="top" wrapText="1"/>
    </xf>
    <xf numFmtId="0" fontId="81" fillId="0" borderId="10" xfId="0" quotePrefix="1" applyFont="1" applyFill="1" applyBorder="1" applyAlignment="1">
      <alignment vertical="center" wrapText="1"/>
    </xf>
    <xf numFmtId="0" fontId="47" fillId="0" borderId="0" xfId="0" applyFont="1" applyAlignment="1">
      <alignment vertical="center" wrapText="1"/>
    </xf>
    <xf numFmtId="0" fontId="50" fillId="0" borderId="0" xfId="0" applyFont="1" applyFill="1" applyAlignment="1">
      <alignment vertical="center" wrapText="1"/>
    </xf>
    <xf numFmtId="0" fontId="58" fillId="0" borderId="0" xfId="0" applyFont="1" applyAlignment="1">
      <alignment vertical="center" wrapText="1"/>
    </xf>
    <xf numFmtId="0" fontId="58" fillId="0" borderId="0" xfId="0" applyFont="1" applyAlignment="1">
      <alignment horizontal="center" vertical="center" wrapText="1"/>
    </xf>
    <xf numFmtId="0" fontId="48" fillId="0" borderId="0" xfId="0" applyFont="1" applyAlignment="1">
      <alignment horizontal="center" vertical="center" wrapText="1"/>
    </xf>
    <xf numFmtId="0" fontId="50" fillId="0" borderId="10" xfId="50" applyFont="1" applyFill="1" applyBorder="1" applyAlignment="1">
      <alignment vertical="center" wrapText="1"/>
    </xf>
    <xf numFmtId="0" fontId="72" fillId="0" borderId="10" xfId="0" applyFont="1" applyFill="1" applyBorder="1" applyAlignment="1">
      <alignment horizontal="center" vertical="center" wrapText="1"/>
    </xf>
    <xf numFmtId="0" fontId="48" fillId="0" borderId="10" xfId="0" applyFont="1" applyFill="1" applyBorder="1" applyAlignment="1">
      <alignment horizontal="center" vertical="center" wrapText="1"/>
    </xf>
    <xf numFmtId="0" fontId="38" fillId="0" borderId="0" xfId="0" applyFont="1" applyFill="1" applyAlignment="1">
      <alignment vertical="center" wrapText="1"/>
    </xf>
    <xf numFmtId="0" fontId="71" fillId="0" borderId="10" xfId="0" applyFont="1" applyFill="1" applyBorder="1" applyAlignment="1">
      <alignment horizontal="center" vertical="center" wrapText="1"/>
    </xf>
    <xf numFmtId="0" fontId="43" fillId="0" borderId="10" xfId="0" applyFont="1" applyFill="1" applyBorder="1" applyAlignment="1">
      <alignment horizontal="center" vertical="center" wrapText="1"/>
    </xf>
    <xf numFmtId="0" fontId="58" fillId="35" borderId="10" xfId="0" applyFont="1" applyFill="1" applyBorder="1" applyAlignment="1">
      <alignment horizontal="center" vertical="center" wrapText="1"/>
    </xf>
    <xf numFmtId="0" fontId="81" fillId="30" borderId="10" xfId="0" applyFont="1" applyFill="1" applyBorder="1" applyAlignment="1">
      <alignment horizontal="left" vertical="center" wrapText="1"/>
    </xf>
    <xf numFmtId="0" fontId="72" fillId="0" borderId="10" xfId="0" applyFont="1" applyBorder="1" applyAlignment="1">
      <alignment horizontal="center" vertical="center" wrapText="1"/>
    </xf>
    <xf numFmtId="0" fontId="48" fillId="0" borderId="10" xfId="0" applyFont="1" applyBorder="1" applyAlignment="1">
      <alignment horizontal="center" vertical="center" wrapText="1"/>
    </xf>
    <xf numFmtId="0" fontId="60" fillId="0" borderId="10" xfId="0" applyFont="1" applyBorder="1" applyAlignment="1">
      <alignment horizontal="center" vertical="center" wrapText="1"/>
    </xf>
    <xf numFmtId="0" fontId="65" fillId="0" borderId="10" xfId="50" applyFont="1" applyFill="1" applyBorder="1" applyAlignment="1">
      <alignment vertical="center" wrapText="1"/>
    </xf>
    <xf numFmtId="0" fontId="36" fillId="25" borderId="0" xfId="0" applyFont="1" applyFill="1" applyAlignment="1">
      <alignment horizontal="center" vertical="center" wrapText="1"/>
    </xf>
    <xf numFmtId="0" fontId="36" fillId="25" borderId="0" xfId="0" applyFont="1" applyFill="1" applyAlignment="1">
      <alignment vertical="center" wrapText="1"/>
    </xf>
    <xf numFmtId="0" fontId="38" fillId="34" borderId="10" xfId="0" applyFont="1" applyFill="1" applyBorder="1" applyAlignment="1">
      <alignment horizontal="center" vertical="center" wrapText="1"/>
    </xf>
    <xf numFmtId="0" fontId="62" fillId="0" borderId="10" xfId="0" applyFont="1" applyFill="1" applyBorder="1" applyAlignment="1">
      <alignment horizontal="center" vertical="center" wrapText="1"/>
    </xf>
    <xf numFmtId="0" fontId="30" fillId="37" borderId="0" xfId="0" applyFont="1" applyFill="1" applyAlignment="1">
      <alignment horizontal="center" vertical="center" wrapText="1"/>
    </xf>
    <xf numFmtId="0" fontId="44" fillId="37" borderId="10" xfId="0" applyFont="1" applyFill="1" applyBorder="1" applyAlignment="1">
      <alignment horizontal="center" vertical="center" wrapText="1"/>
    </xf>
    <xf numFmtId="0" fontId="83" fillId="37" borderId="10" xfId="0" applyFont="1" applyFill="1" applyBorder="1" applyAlignment="1">
      <alignment horizontal="center" vertical="center" wrapText="1"/>
    </xf>
    <xf numFmtId="0" fontId="84" fillId="34" borderId="10" xfId="0" applyFont="1" applyFill="1" applyBorder="1" applyAlignment="1">
      <alignment horizontal="center" vertical="center" wrapText="1"/>
    </xf>
    <xf numFmtId="0" fontId="58" fillId="25" borderId="10" xfId="0" applyFont="1" applyFill="1" applyBorder="1" applyAlignment="1">
      <alignment horizontal="center" vertical="center" wrapText="1"/>
    </xf>
    <xf numFmtId="0" fontId="60" fillId="0" borderId="11" xfId="0" applyFont="1" applyFill="1" applyBorder="1" applyAlignment="1">
      <alignment horizontal="center" vertical="center" wrapText="1"/>
    </xf>
    <xf numFmtId="0" fontId="38" fillId="0" borderId="10" xfId="0" applyFont="1" applyFill="1" applyBorder="1" applyAlignment="1">
      <alignment vertical="center" wrapText="1"/>
    </xf>
    <xf numFmtId="0" fontId="38" fillId="40" borderId="10" xfId="0" applyFont="1" applyFill="1" applyBorder="1" applyAlignment="1">
      <alignment horizontal="center" vertical="center" wrapText="1"/>
    </xf>
    <xf numFmtId="0" fontId="50" fillId="0" borderId="10" xfId="0" applyFont="1" applyFill="1" applyBorder="1" applyAlignment="1">
      <alignment vertical="center" wrapText="1"/>
    </xf>
    <xf numFmtId="49" fontId="50" fillId="0" borderId="10" xfId="0" applyNumberFormat="1" applyFont="1" applyFill="1" applyBorder="1" applyAlignment="1">
      <alignment horizontal="center" vertical="center" wrapText="1"/>
    </xf>
    <xf numFmtId="0" fontId="50" fillId="0" borderId="10" xfId="0" quotePrefix="1" applyFont="1" applyFill="1" applyBorder="1" applyAlignment="1">
      <alignment vertical="center" wrapText="1"/>
    </xf>
    <xf numFmtId="0" fontId="36" fillId="0" borderId="10" xfId="0" applyFont="1" applyBorder="1" applyAlignment="1">
      <alignment vertical="center" wrapText="1"/>
    </xf>
    <xf numFmtId="0" fontId="36" fillId="0" borderId="10" xfId="0" quotePrefix="1" applyFont="1" applyBorder="1" applyAlignment="1">
      <alignment vertical="center" wrapText="1"/>
    </xf>
    <xf numFmtId="0" fontId="62" fillId="0" borderId="0" xfId="0" applyFont="1" applyFill="1" applyBorder="1" applyAlignment="1">
      <alignment vertical="center" wrapText="1"/>
    </xf>
    <xf numFmtId="49" fontId="36" fillId="0" borderId="10" xfId="0" applyNumberFormat="1" applyFont="1" applyBorder="1" applyAlignment="1">
      <alignment horizontal="center" vertical="center" wrapText="1"/>
    </xf>
    <xf numFmtId="0" fontId="50" fillId="0" borderId="10" xfId="0" quotePrefix="1" applyFont="1" applyFill="1" applyBorder="1" applyAlignment="1">
      <alignment horizontal="center" vertical="center" wrapText="1"/>
    </xf>
    <xf numFmtId="0" fontId="59" fillId="0" borderId="0" xfId="50" applyFont="1" applyFill="1" applyBorder="1" applyAlignment="1">
      <alignment horizontal="left" vertical="center" wrapText="1"/>
    </xf>
    <xf numFmtId="0" fontId="87" fillId="0" borderId="0" xfId="0" applyFont="1" applyBorder="1" applyAlignment="1">
      <alignment horizontal="left" wrapText="1"/>
    </xf>
    <xf numFmtId="0" fontId="89" fillId="0" borderId="0" xfId="0" applyFont="1" applyAlignment="1">
      <alignment horizontal="right" vertical="center"/>
    </xf>
    <xf numFmtId="49" fontId="30" fillId="0" borderId="10" xfId="0" applyNumberFormat="1" applyFont="1" applyBorder="1" applyAlignment="1">
      <alignment horizontal="center" vertical="center" wrapText="1"/>
    </xf>
    <xf numFmtId="0" fontId="44" fillId="40" borderId="10" xfId="0" applyFont="1" applyFill="1" applyBorder="1" applyAlignment="1">
      <alignment horizontal="center" vertical="center" wrapText="1"/>
    </xf>
    <xf numFmtId="9" fontId="90" fillId="36" borderId="10" xfId="0" applyNumberFormat="1" applyFont="1" applyFill="1" applyBorder="1" applyAlignment="1">
      <alignment horizontal="center" vertical="center"/>
    </xf>
    <xf numFmtId="0" fontId="50" fillId="0" borderId="0" xfId="0" applyFont="1" applyFill="1" applyBorder="1" applyAlignment="1">
      <alignment vertical="center" wrapText="1"/>
    </xf>
    <xf numFmtId="0" fontId="60" fillId="0" borderId="0" xfId="0" applyFont="1" applyFill="1" applyBorder="1" applyAlignment="1">
      <alignment horizontal="center" vertical="center" wrapText="1"/>
    </xf>
    <xf numFmtId="0" fontId="65" fillId="0" borderId="10" xfId="50" applyFont="1" applyFill="1" applyBorder="1" applyAlignment="1">
      <alignment horizontal="center" vertical="center" wrapText="1"/>
    </xf>
    <xf numFmtId="0" fontId="65" fillId="0" borderId="10" xfId="50" applyFont="1" applyFill="1" applyBorder="1" applyAlignment="1">
      <alignment horizontal="left" vertical="center" wrapText="1"/>
    </xf>
    <xf numFmtId="0" fontId="59" fillId="0" borderId="11" xfId="0" applyFont="1" applyFill="1" applyBorder="1" applyAlignment="1">
      <alignment horizontal="center" vertical="center" wrapText="1"/>
    </xf>
    <xf numFmtId="0" fontId="58" fillId="0" borderId="10" xfId="52" quotePrefix="1" applyFont="1" applyFill="1" applyBorder="1" applyAlignment="1">
      <alignment horizontal="left" vertical="center" wrapText="1"/>
    </xf>
    <xf numFmtId="176" fontId="58" fillId="0" borderId="10" xfId="51" applyNumberFormat="1" applyFont="1" applyFill="1" applyBorder="1" applyAlignment="1">
      <alignment horizontal="left" vertical="center" wrapText="1"/>
    </xf>
    <xf numFmtId="0" fontId="58" fillId="0" borderId="10" xfId="50" applyFont="1" applyFill="1" applyBorder="1" applyAlignment="1">
      <alignment vertical="center"/>
    </xf>
    <xf numFmtId="0" fontId="58" fillId="0" borderId="10" xfId="52" applyFont="1" applyFill="1" applyBorder="1" applyAlignment="1">
      <alignment horizontal="center" vertical="center"/>
    </xf>
    <xf numFmtId="0" fontId="58" fillId="0" borderId="10" xfId="52" applyFont="1" applyFill="1" applyBorder="1" applyAlignment="1">
      <alignment horizontal="left" vertical="center"/>
    </xf>
    <xf numFmtId="0" fontId="58" fillId="0" borderId="10" xfId="52" applyFont="1" applyFill="1" applyBorder="1" applyAlignment="1">
      <alignment horizontal="center" vertical="center" wrapText="1"/>
    </xf>
    <xf numFmtId="0" fontId="58" fillId="0" borderId="10" xfId="0" applyFont="1" applyFill="1" applyBorder="1" applyAlignment="1">
      <alignment vertical="center"/>
    </xf>
    <xf numFmtId="0" fontId="64" fillId="0" borderId="10" xfId="50" applyFont="1" applyFill="1" applyBorder="1" applyAlignment="1">
      <alignment vertical="center"/>
    </xf>
    <xf numFmtId="14" fontId="64" fillId="0" borderId="10" xfId="0" applyNumberFormat="1" applyFont="1" applyFill="1" applyBorder="1" applyAlignment="1">
      <alignment horizontal="center" vertical="center" wrapText="1"/>
    </xf>
    <xf numFmtId="0" fontId="64" fillId="0" borderId="10" xfId="0" applyFont="1" applyFill="1" applyBorder="1" applyAlignment="1">
      <alignment vertical="center"/>
    </xf>
    <xf numFmtId="0" fontId="67" fillId="0" borderId="10" xfId="0" quotePrefix="1" applyFont="1" applyFill="1" applyBorder="1" applyAlignment="1">
      <alignment horizontal="left" vertical="center" wrapText="1"/>
    </xf>
    <xf numFmtId="0" fontId="58" fillId="26" borderId="10" xfId="0" applyFont="1" applyFill="1" applyBorder="1" applyAlignment="1">
      <alignment horizontal="center" vertical="center" wrapText="1"/>
    </xf>
    <xf numFmtId="0" fontId="61" fillId="0" borderId="10" xfId="0" applyFont="1" applyFill="1" applyBorder="1" applyAlignment="1">
      <alignment horizontal="left" vertical="center" wrapText="1"/>
    </xf>
    <xf numFmtId="0" fontId="58" fillId="26" borderId="10" xfId="0" applyFont="1" applyFill="1" applyBorder="1" applyAlignment="1">
      <alignment horizontal="center" vertical="center" wrapText="1"/>
    </xf>
    <xf numFmtId="0" fontId="60" fillId="0" borderId="10" xfId="50" applyFont="1" applyFill="1" applyBorder="1" applyAlignment="1">
      <alignment horizontal="center" vertical="center" wrapText="1"/>
    </xf>
    <xf numFmtId="0" fontId="36" fillId="25" borderId="10" xfId="0" applyFont="1" applyFill="1" applyBorder="1" applyAlignment="1">
      <alignment vertical="center" wrapText="1"/>
    </xf>
    <xf numFmtId="0" fontId="84" fillId="0" borderId="10" xfId="0" applyFont="1" applyFill="1" applyBorder="1" applyAlignment="1">
      <alignment horizontal="center" vertical="center" wrapText="1"/>
    </xf>
    <xf numFmtId="0" fontId="36" fillId="0" borderId="10" xfId="0" applyFont="1" applyFill="1" applyBorder="1" applyAlignment="1">
      <alignment vertical="center" wrapText="1"/>
    </xf>
    <xf numFmtId="49" fontId="36" fillId="0" borderId="10" xfId="0" applyNumberFormat="1" applyFont="1" applyFill="1" applyBorder="1" applyAlignment="1">
      <alignment horizontal="center" vertical="center" wrapText="1"/>
    </xf>
    <xf numFmtId="0" fontId="36" fillId="0" borderId="0" xfId="0" applyFont="1" applyFill="1" applyAlignment="1">
      <alignment vertical="center" wrapText="1"/>
    </xf>
    <xf numFmtId="0" fontId="60" fillId="0" borderId="10" xfId="0" applyFont="1" applyBorder="1" applyAlignment="1">
      <alignment horizontal="left" vertical="center" wrapText="1"/>
    </xf>
    <xf numFmtId="0" fontId="64" fillId="0" borderId="10" xfId="0" applyFont="1" applyBorder="1" applyAlignment="1">
      <alignment horizontal="center" vertical="center" wrapText="1"/>
    </xf>
    <xf numFmtId="0" fontId="70" fillId="0" borderId="0" xfId="0" applyFont="1" applyFill="1" applyAlignment="1">
      <alignment horizontal="left" vertical="center"/>
    </xf>
    <xf numFmtId="0" fontId="77" fillId="25" borderId="10" xfId="50" applyFont="1" applyFill="1" applyBorder="1" applyAlignment="1">
      <alignment vertical="center" wrapText="1"/>
    </xf>
    <xf numFmtId="0" fontId="59" fillId="25" borderId="10" xfId="50" applyFont="1" applyFill="1" applyBorder="1" applyAlignment="1">
      <alignment vertical="center" wrapText="1"/>
    </xf>
    <xf numFmtId="0" fontId="62" fillId="0" borderId="10" xfId="0" applyFont="1" applyFill="1" applyBorder="1" applyAlignment="1">
      <alignment horizontal="left" vertical="center" wrapText="1"/>
    </xf>
    <xf numFmtId="0" fontId="62" fillId="0" borderId="10" xfId="50" applyFont="1" applyFill="1" applyBorder="1" applyAlignment="1">
      <alignment horizontal="left" vertical="center" wrapText="1"/>
    </xf>
    <xf numFmtId="0" fontId="62" fillId="0" borderId="10" xfId="50" applyFont="1" applyFill="1" applyBorder="1" applyAlignment="1">
      <alignment vertical="center" wrapText="1"/>
    </xf>
    <xf numFmtId="0" fontId="95" fillId="0" borderId="10" xfId="0" applyFont="1" applyFill="1" applyBorder="1" applyAlignment="1">
      <alignment horizontal="center" vertical="center" wrapText="1"/>
    </xf>
    <xf numFmtId="0" fontId="62" fillId="0" borderId="10" xfId="50" quotePrefix="1" applyFont="1" applyFill="1" applyBorder="1" applyAlignment="1">
      <alignment horizontal="left" vertical="center" wrapText="1"/>
    </xf>
    <xf numFmtId="0" fontId="63" fillId="25" borderId="10" xfId="50" quotePrefix="1" applyFont="1" applyFill="1" applyBorder="1" applyAlignment="1">
      <alignment horizontal="left" vertical="center" wrapText="1"/>
    </xf>
    <xf numFmtId="0" fontId="65" fillId="0" borderId="10" xfId="0" applyFont="1" applyFill="1" applyBorder="1" applyAlignment="1">
      <alignment horizontal="center" vertical="center" wrapText="1"/>
    </xf>
    <xf numFmtId="0" fontId="65" fillId="0" borderId="10" xfId="0" applyFont="1" applyFill="1" applyBorder="1" applyAlignment="1">
      <alignment horizontal="left" vertical="center" wrapText="1"/>
    </xf>
    <xf numFmtId="0" fontId="65" fillId="0" borderId="10" xfId="0" quotePrefix="1" applyFont="1" applyFill="1" applyBorder="1" applyAlignment="1">
      <alignment horizontal="left" vertical="center" wrapText="1"/>
    </xf>
    <xf numFmtId="0" fontId="96" fillId="0" borderId="0" xfId="0" applyFont="1" applyAlignment="1">
      <alignment vertical="center" wrapText="1"/>
    </xf>
    <xf numFmtId="0" fontId="65" fillId="0" borderId="11" xfId="50" applyFont="1" applyFill="1" applyBorder="1" applyAlignment="1">
      <alignment horizontal="center" vertical="center" wrapText="1"/>
    </xf>
    <xf numFmtId="0" fontId="65" fillId="0" borderId="10" xfId="50" quotePrefix="1" applyFont="1" applyFill="1" applyBorder="1" applyAlignment="1">
      <alignment horizontal="left" vertical="center" wrapText="1"/>
    </xf>
    <xf numFmtId="0" fontId="97" fillId="0" borderId="10" xfId="50" applyFont="1" applyFill="1" applyBorder="1" applyAlignment="1">
      <alignment vertical="center" wrapText="1"/>
    </xf>
    <xf numFmtId="0" fontId="62" fillId="0" borderId="10" xfId="0" applyFont="1" applyFill="1" applyBorder="1" applyAlignment="1">
      <alignment horizontal="center" vertical="center"/>
    </xf>
    <xf numFmtId="0" fontId="62" fillId="0" borderId="10" xfId="0" applyFont="1" applyFill="1" applyBorder="1" applyAlignment="1">
      <alignment horizontal="left" vertical="center"/>
    </xf>
    <xf numFmtId="0" fontId="62" fillId="0" borderId="10" xfId="52" quotePrefix="1" applyFont="1" applyFill="1" applyBorder="1" applyAlignment="1">
      <alignment horizontal="left" vertical="center" wrapText="1"/>
    </xf>
    <xf numFmtId="0" fontId="62" fillId="0" borderId="10" xfId="50" applyFont="1" applyFill="1" applyBorder="1" applyAlignment="1">
      <alignment vertical="center"/>
    </xf>
    <xf numFmtId="14" fontId="65" fillId="0" borderId="10" xfId="50" applyNumberFormat="1" applyFont="1" applyFill="1" applyBorder="1" applyAlignment="1">
      <alignment vertical="center"/>
    </xf>
    <xf numFmtId="0" fontId="65" fillId="0" borderId="10" xfId="50" applyFont="1" applyFill="1" applyBorder="1" applyAlignment="1">
      <alignment vertical="center"/>
    </xf>
    <xf numFmtId="0" fontId="62" fillId="0" borderId="0" xfId="0" applyFont="1" applyAlignment="1">
      <alignment vertical="center"/>
    </xf>
    <xf numFmtId="0" fontId="60" fillId="0" borderId="10" xfId="50" quotePrefix="1" applyFont="1" applyFill="1" applyBorder="1" applyAlignment="1">
      <alignment horizontal="left" vertical="center" wrapText="1"/>
    </xf>
    <xf numFmtId="0" fontId="76" fillId="0" borderId="10" xfId="0" quotePrefix="1" applyFont="1" applyFill="1" applyBorder="1" applyAlignment="1">
      <alignment horizontal="left" vertical="center" wrapText="1"/>
    </xf>
    <xf numFmtId="0" fontId="62" fillId="25" borderId="10" xfId="0" applyFont="1" applyFill="1" applyBorder="1" applyAlignment="1">
      <alignment horizontal="center" vertical="center" wrapText="1"/>
    </xf>
    <xf numFmtId="0" fontId="38" fillId="0" borderId="10" xfId="50" applyFont="1" applyFill="1" applyBorder="1" applyAlignment="1">
      <alignment vertical="center" wrapText="1"/>
    </xf>
    <xf numFmtId="0" fontId="50" fillId="0" borderId="0" xfId="0" quotePrefix="1" applyFont="1" applyFill="1" applyBorder="1" applyAlignment="1">
      <alignment vertical="center" wrapText="1"/>
    </xf>
    <xf numFmtId="0" fontId="38" fillId="40" borderId="0" xfId="0" applyFont="1" applyFill="1" applyBorder="1" applyAlignment="1">
      <alignment horizontal="center" vertical="center" wrapText="1"/>
    </xf>
    <xf numFmtId="0" fontId="71" fillId="0" borderId="10" xfId="0" applyFont="1" applyBorder="1" applyAlignment="1">
      <alignment horizontal="center" vertical="center" wrapText="1"/>
    </xf>
    <xf numFmtId="0" fontId="58" fillId="41" borderId="10" xfId="0" applyFont="1" applyFill="1" applyBorder="1" applyAlignment="1">
      <alignment horizontal="center" vertical="center" wrapText="1"/>
    </xf>
    <xf numFmtId="0" fontId="70" fillId="29" borderId="10" xfId="0" applyFont="1" applyFill="1" applyBorder="1" applyAlignment="1">
      <alignment horizontal="center" vertical="center" wrapText="1"/>
    </xf>
    <xf numFmtId="0" fontId="99" fillId="29" borderId="10" xfId="0" applyFont="1" applyFill="1" applyBorder="1" applyAlignment="1">
      <alignment horizontal="center" vertical="center" wrapText="1"/>
    </xf>
    <xf numFmtId="0" fontId="47" fillId="29" borderId="10" xfId="0" applyFont="1" applyFill="1" applyBorder="1" applyAlignment="1">
      <alignment horizontal="center" vertical="center" wrapText="1"/>
    </xf>
    <xf numFmtId="0" fontId="40" fillId="26" borderId="18" xfId="50" applyFont="1" applyFill="1" applyBorder="1" applyAlignment="1">
      <alignment horizontal="center" vertical="center" wrapText="1"/>
    </xf>
    <xf numFmtId="0" fontId="70" fillId="42" borderId="0" xfId="0" applyFont="1" applyFill="1" applyAlignment="1">
      <alignment horizontal="center" vertical="center" wrapText="1"/>
    </xf>
    <xf numFmtId="0" fontId="99" fillId="0" borderId="0" xfId="0" applyFont="1" applyAlignment="1">
      <alignment horizontal="center" vertical="center" wrapText="1"/>
    </xf>
    <xf numFmtId="0" fontId="43" fillId="29" borderId="19" xfId="0" applyFont="1" applyFill="1" applyBorder="1" applyAlignment="1">
      <alignment horizontal="center" vertical="center" wrapText="1"/>
    </xf>
    <xf numFmtId="0" fontId="59" fillId="0" borderId="18" xfId="50" applyFont="1" applyFill="1" applyBorder="1" applyAlignment="1">
      <alignment horizontal="center" vertical="center" wrapText="1"/>
    </xf>
    <xf numFmtId="0" fontId="59" fillId="0" borderId="18" xfId="50" applyFont="1" applyFill="1" applyBorder="1" applyAlignment="1">
      <alignment horizontal="left" vertical="center" wrapText="1"/>
    </xf>
    <xf numFmtId="0" fontId="58" fillId="41" borderId="0" xfId="0" applyFont="1" applyFill="1" applyAlignment="1">
      <alignment horizontal="center" vertical="center" wrapText="1"/>
    </xf>
    <xf numFmtId="0" fontId="43" fillId="0" borderId="10" xfId="0" applyFont="1" applyFill="1" applyBorder="1" applyAlignment="1">
      <alignment vertical="center" wrapText="1"/>
    </xf>
    <xf numFmtId="0" fontId="100" fillId="0" borderId="18" xfId="50" applyFont="1" applyFill="1" applyBorder="1" applyAlignment="1">
      <alignment horizontal="left" vertical="center" wrapText="1"/>
    </xf>
    <xf numFmtId="14" fontId="59" fillId="0" borderId="10" xfId="0" applyNumberFormat="1" applyFont="1" applyFill="1" applyBorder="1" applyAlignment="1">
      <alignment horizontal="center" vertical="center" wrapText="1"/>
    </xf>
    <xf numFmtId="0" fontId="50" fillId="0" borderId="18" xfId="50" applyFont="1" applyFill="1" applyBorder="1" applyAlignment="1">
      <alignment horizontal="center" vertical="center" wrapText="1"/>
    </xf>
    <xf numFmtId="0" fontId="65" fillId="0" borderId="18" xfId="50" applyFont="1" applyFill="1" applyBorder="1" applyAlignment="1">
      <alignment horizontal="left" vertical="center" wrapText="1"/>
    </xf>
    <xf numFmtId="0" fontId="65" fillId="0" borderId="18" xfId="50" applyFont="1" applyFill="1" applyBorder="1" applyAlignment="1">
      <alignment horizontal="center" vertical="center" wrapText="1"/>
    </xf>
    <xf numFmtId="0" fontId="50" fillId="0" borderId="18" xfId="50" applyFont="1" applyFill="1" applyBorder="1" applyAlignment="1">
      <alignment horizontal="left" vertical="center" wrapText="1"/>
    </xf>
    <xf numFmtId="0" fontId="79" fillId="0" borderId="18" xfId="50" applyFont="1" applyFill="1" applyBorder="1" applyAlignment="1">
      <alignment horizontal="center" vertical="center" wrapText="1"/>
    </xf>
    <xf numFmtId="0" fontId="59" fillId="0" borderId="18" xfId="50" quotePrefix="1" applyFont="1" applyFill="1" applyBorder="1" applyAlignment="1">
      <alignment horizontal="left" vertical="center" wrapText="1"/>
    </xf>
    <xf numFmtId="0" fontId="73" fillId="0" borderId="18" xfId="50" applyFont="1" applyFill="1" applyBorder="1" applyAlignment="1">
      <alignment horizontal="left" vertical="center" wrapText="1"/>
    </xf>
    <xf numFmtId="0" fontId="38" fillId="0" borderId="18" xfId="50" applyFont="1" applyFill="1" applyBorder="1" applyAlignment="1">
      <alignment horizontal="center" vertical="center" wrapText="1"/>
    </xf>
    <xf numFmtId="0" fontId="38" fillId="0" borderId="18" xfId="50" applyFont="1" applyFill="1" applyBorder="1" applyAlignment="1">
      <alignment horizontal="left" vertical="center" wrapText="1"/>
    </xf>
    <xf numFmtId="0" fontId="68" fillId="0" borderId="10" xfId="0" applyFont="1" applyFill="1" applyBorder="1" applyAlignment="1">
      <alignment horizontal="left" vertical="center" wrapText="1"/>
    </xf>
    <xf numFmtId="0" fontId="50" fillId="0" borderId="18" xfId="0" applyFont="1" applyFill="1" applyBorder="1" applyAlignment="1">
      <alignment vertical="center" wrapText="1"/>
    </xf>
    <xf numFmtId="0" fontId="65" fillId="0" borderId="18" xfId="50" quotePrefix="1" applyFont="1" applyFill="1" applyBorder="1" applyAlignment="1">
      <alignment horizontal="left" vertical="center" wrapText="1"/>
    </xf>
    <xf numFmtId="0" fontId="42" fillId="0" borderId="10" xfId="0" applyFont="1" applyBorder="1" applyAlignment="1">
      <alignment vertical="center" wrapText="1"/>
    </xf>
    <xf numFmtId="0" fontId="58" fillId="0" borderId="18" xfId="50" applyFont="1" applyFill="1" applyBorder="1" applyAlignment="1">
      <alignment horizontal="center" vertical="center" wrapText="1"/>
    </xf>
    <xf numFmtId="0" fontId="58" fillId="0" borderId="18" xfId="50" applyFont="1" applyFill="1" applyBorder="1" applyAlignment="1">
      <alignment horizontal="left" vertical="center" wrapText="1"/>
    </xf>
    <xf numFmtId="14" fontId="77" fillId="0" borderId="10" xfId="0" applyNumberFormat="1" applyFont="1" applyFill="1" applyBorder="1" applyAlignment="1">
      <alignment horizontal="center" vertical="center" wrapText="1"/>
    </xf>
    <xf numFmtId="0" fontId="62" fillId="0" borderId="18" xfId="50" applyFont="1" applyFill="1" applyBorder="1" applyAlignment="1">
      <alignment horizontal="center" vertical="center" wrapText="1"/>
    </xf>
    <xf numFmtId="0" fontId="62" fillId="0" borderId="18" xfId="50" applyFont="1" applyFill="1" applyBorder="1" applyAlignment="1">
      <alignment horizontal="left" vertical="center" wrapText="1"/>
    </xf>
    <xf numFmtId="0" fontId="58" fillId="0" borderId="18" xfId="0" applyFont="1" applyBorder="1" applyAlignment="1">
      <alignment horizontal="center" vertical="center" wrapText="1"/>
    </xf>
    <xf numFmtId="0" fontId="58" fillId="0" borderId="18" xfId="50" quotePrefix="1" applyFont="1" applyFill="1" applyBorder="1" applyAlignment="1">
      <alignment horizontal="left" vertical="center" wrapText="1"/>
    </xf>
    <xf numFmtId="0" fontId="64" fillId="0" borderId="18" xfId="50" applyFont="1" applyFill="1" applyBorder="1" applyAlignment="1">
      <alignment horizontal="center" vertical="center" wrapText="1"/>
    </xf>
    <xf numFmtId="0" fontId="64" fillId="0" borderId="18" xfId="50" applyFont="1" applyFill="1" applyBorder="1" applyAlignment="1">
      <alignment horizontal="left" vertical="center" wrapText="1"/>
    </xf>
    <xf numFmtId="0" fontId="58" fillId="0" borderId="19" xfId="0" applyFont="1" applyFill="1" applyBorder="1" applyAlignment="1">
      <alignment horizontal="center" vertical="center" wrapText="1"/>
    </xf>
    <xf numFmtId="0" fontId="62" fillId="0" borderId="19" xfId="0" applyFont="1" applyFill="1" applyBorder="1" applyAlignment="1">
      <alignment vertical="center" wrapText="1"/>
    </xf>
    <xf numFmtId="49" fontId="39" fillId="0" borderId="10" xfId="48" applyNumberFormat="1" applyFont="1" applyBorder="1" applyAlignment="1">
      <alignment horizontal="center" vertical="center" wrapText="1" shrinkToFit="1"/>
    </xf>
    <xf numFmtId="0" fontId="40" fillId="35" borderId="10" xfId="50" applyFont="1" applyFill="1" applyBorder="1" applyAlignment="1">
      <alignment horizontal="center" vertical="center" wrapText="1"/>
    </xf>
    <xf numFmtId="0" fontId="70" fillId="26" borderId="10" xfId="0" applyFont="1" applyFill="1" applyBorder="1" applyAlignment="1">
      <alignment horizontal="center" vertical="center" wrapText="1"/>
    </xf>
    <xf numFmtId="0" fontId="40" fillId="0" borderId="10" xfId="50" applyFont="1" applyFill="1" applyBorder="1" applyAlignment="1">
      <alignment horizontal="center" vertical="center" wrapText="1"/>
    </xf>
    <xf numFmtId="0" fontId="36" fillId="0" borderId="0" xfId="0" applyFont="1" applyFill="1" applyAlignment="1">
      <alignment horizontal="center" vertical="center" wrapText="1"/>
    </xf>
    <xf numFmtId="0" fontId="64" fillId="0" borderId="0" xfId="0" applyFont="1" applyBorder="1" applyAlignment="1">
      <alignment vertical="center" wrapText="1"/>
    </xf>
    <xf numFmtId="14" fontId="39" fillId="0" borderId="10" xfId="48" quotePrefix="1" applyNumberFormat="1" applyFont="1" applyBorder="1" applyAlignment="1">
      <alignment horizontal="center" vertical="center"/>
    </xf>
    <xf numFmtId="0" fontId="64" fillId="0" borderId="0" xfId="0" applyFont="1" applyBorder="1" applyAlignment="1">
      <alignment horizontal="center" vertical="center" wrapText="1"/>
    </xf>
    <xf numFmtId="0" fontId="39" fillId="26" borderId="10" xfId="50" applyFont="1" applyFill="1" applyBorder="1" applyAlignment="1">
      <alignment horizontal="center" vertical="center" wrapText="1"/>
    </xf>
    <xf numFmtId="0" fontId="39" fillId="35" borderId="10" xfId="50" applyFont="1" applyFill="1" applyBorder="1" applyAlignment="1">
      <alignment horizontal="center" vertical="center" wrapText="1"/>
    </xf>
    <xf numFmtId="0" fontId="64" fillId="25" borderId="10" xfId="0" applyFont="1" applyFill="1" applyBorder="1" applyAlignment="1">
      <alignment horizontal="left" vertical="top" wrapText="1"/>
    </xf>
    <xf numFmtId="0" fontId="64" fillId="25" borderId="0" xfId="0" applyFont="1" applyFill="1" applyAlignment="1">
      <alignment horizontal="left" vertical="top" wrapText="1"/>
    </xf>
    <xf numFmtId="0" fontId="64" fillId="25" borderId="10" xfId="50" applyFont="1" applyFill="1" applyBorder="1" applyAlignment="1">
      <alignment horizontal="left" vertical="top" wrapText="1"/>
    </xf>
    <xf numFmtId="0" fontId="65" fillId="25" borderId="10" xfId="0" applyFont="1" applyFill="1" applyBorder="1" applyAlignment="1">
      <alignment horizontal="left" vertical="top" wrapText="1"/>
    </xf>
    <xf numFmtId="0" fontId="65" fillId="25" borderId="10" xfId="50" applyFont="1" applyFill="1" applyBorder="1" applyAlignment="1">
      <alignment horizontal="left" vertical="top" wrapText="1"/>
    </xf>
    <xf numFmtId="0" fontId="65" fillId="25" borderId="0" xfId="0" applyFont="1" applyFill="1" applyAlignment="1">
      <alignment horizontal="left" vertical="top" wrapText="1"/>
    </xf>
    <xf numFmtId="0" fontId="105" fillId="25" borderId="10" xfId="0" applyFont="1" applyFill="1" applyBorder="1" applyAlignment="1">
      <alignment horizontal="left" vertical="top" wrapText="1"/>
    </xf>
    <xf numFmtId="0" fontId="59" fillId="25" borderId="10" xfId="0" applyFont="1" applyFill="1" applyBorder="1" applyAlignment="1">
      <alignment horizontal="left" vertical="top" wrapText="1"/>
    </xf>
    <xf numFmtId="0" fontId="104" fillId="25" borderId="10" xfId="0" applyFont="1" applyFill="1" applyBorder="1" applyAlignment="1">
      <alignment horizontal="left" vertical="top" wrapText="1"/>
    </xf>
    <xf numFmtId="0" fontId="39" fillId="0" borderId="0" xfId="0" applyFont="1" applyBorder="1" applyAlignment="1">
      <alignment vertical="center" wrapText="1"/>
    </xf>
    <xf numFmtId="0" fontId="107" fillId="0" borderId="0" xfId="0" pivotButton="1" applyFont="1" applyAlignment="1">
      <alignment horizontal="center" vertical="center"/>
    </xf>
    <xf numFmtId="0" fontId="107" fillId="0" borderId="0" xfId="0" applyFont="1" applyAlignment="1">
      <alignment horizontal="center" vertical="center"/>
    </xf>
    <xf numFmtId="0" fontId="107" fillId="0" borderId="0" xfId="0" applyFont="1" applyAlignment="1">
      <alignment vertical="center"/>
    </xf>
    <xf numFmtId="0" fontId="107" fillId="0" borderId="0" xfId="0" applyNumberFormat="1" applyFont="1" applyAlignment="1">
      <alignment horizontal="center" vertical="center"/>
    </xf>
    <xf numFmtId="0" fontId="107" fillId="0" borderId="0" xfId="0" applyFont="1" applyFill="1" applyAlignment="1">
      <alignment horizontal="center" vertical="center"/>
    </xf>
    <xf numFmtId="0" fontId="107" fillId="0" borderId="0" xfId="0" applyNumberFormat="1" applyFont="1" applyFill="1" applyAlignment="1">
      <alignment horizontal="center" vertical="center"/>
    </xf>
    <xf numFmtId="0" fontId="107" fillId="0" borderId="0" xfId="0" applyFont="1" applyFill="1" applyAlignment="1">
      <alignment vertical="center"/>
    </xf>
    <xf numFmtId="0" fontId="107" fillId="0" borderId="0" xfId="0" applyFont="1" applyFill="1" applyBorder="1" applyAlignment="1">
      <alignment vertical="center"/>
    </xf>
    <xf numFmtId="0" fontId="107" fillId="0" borderId="0" xfId="0" applyFont="1" applyFill="1" applyBorder="1" applyAlignment="1">
      <alignment horizontal="center" vertical="center"/>
    </xf>
    <xf numFmtId="0" fontId="107" fillId="0" borderId="0" xfId="0" applyNumberFormat="1" applyFont="1" applyFill="1" applyBorder="1" applyAlignment="1">
      <alignment horizontal="center" vertical="center"/>
    </xf>
    <xf numFmtId="0" fontId="64" fillId="25" borderId="10" xfId="50" applyFont="1" applyFill="1" applyBorder="1" applyAlignment="1">
      <alignment horizontal="center" vertical="top" wrapText="1"/>
    </xf>
    <xf numFmtId="0" fontId="65" fillId="25" borderId="10" xfId="50" applyFont="1" applyFill="1" applyBorder="1" applyAlignment="1">
      <alignment horizontal="center" vertical="top" wrapText="1"/>
    </xf>
    <xf numFmtId="0" fontId="64" fillId="25" borderId="10" xfId="0" applyFont="1" applyFill="1" applyBorder="1" applyAlignment="1">
      <alignment horizontal="center" vertical="top" wrapText="1"/>
    </xf>
    <xf numFmtId="0" fontId="65" fillId="25" borderId="10" xfId="0" applyFont="1" applyFill="1" applyBorder="1" applyAlignment="1">
      <alignment horizontal="center" vertical="top" wrapText="1"/>
    </xf>
    <xf numFmtId="0" fontId="64" fillId="25" borderId="0" xfId="0" applyFont="1" applyFill="1" applyBorder="1" applyAlignment="1">
      <alignment horizontal="left" vertical="top" wrapText="1"/>
    </xf>
    <xf numFmtId="0" fontId="65" fillId="25" borderId="0" xfId="0" applyFont="1" applyFill="1" applyBorder="1" applyAlignment="1">
      <alignment horizontal="left" vertical="top" wrapText="1"/>
    </xf>
    <xf numFmtId="0" fontId="64" fillId="0" borderId="10" xfId="0" applyFont="1" applyFill="1" applyBorder="1" applyAlignment="1">
      <alignment horizontal="left" vertical="top" wrapText="1"/>
    </xf>
    <xf numFmtId="0" fontId="65" fillId="35" borderId="10" xfId="0" applyFont="1" applyFill="1" applyBorder="1" applyAlignment="1">
      <alignment horizontal="left" vertical="top" wrapText="1"/>
    </xf>
    <xf numFmtId="0" fontId="65" fillId="35" borderId="10" xfId="50" applyFont="1" applyFill="1" applyBorder="1" applyAlignment="1">
      <alignment horizontal="center" vertical="top" wrapText="1"/>
    </xf>
    <xf numFmtId="0" fontId="65" fillId="0" borderId="10" xfId="0" applyFont="1" applyFill="1" applyBorder="1" applyAlignment="1">
      <alignment horizontal="left" vertical="top" wrapText="1"/>
    </xf>
    <xf numFmtId="0" fontId="65" fillId="35" borderId="10" xfId="0" applyFont="1" applyFill="1" applyBorder="1" applyAlignment="1">
      <alignment horizontal="center" vertical="top" wrapText="1"/>
    </xf>
    <xf numFmtId="0" fontId="64" fillId="41" borderId="10" xfId="0" applyFont="1" applyFill="1" applyBorder="1" applyAlignment="1">
      <alignment horizontal="left" vertical="top" wrapText="1"/>
    </xf>
    <xf numFmtId="0" fontId="64" fillId="41" borderId="10" xfId="50" applyFont="1" applyFill="1" applyBorder="1" applyAlignment="1">
      <alignment horizontal="left" vertical="top" wrapText="1"/>
    </xf>
    <xf numFmtId="0" fontId="64" fillId="41" borderId="10" xfId="50" applyFont="1" applyFill="1" applyBorder="1" applyAlignment="1">
      <alignment horizontal="center" vertical="top" wrapText="1"/>
    </xf>
    <xf numFmtId="0" fontId="64" fillId="41" borderId="10" xfId="0" applyFont="1" applyFill="1" applyBorder="1" applyAlignment="1">
      <alignment horizontal="center" vertical="top" wrapText="1"/>
    </xf>
    <xf numFmtId="0" fontId="36" fillId="0" borderId="0" xfId="47" applyFont="1" applyBorder="1" applyAlignment="1">
      <alignment horizontal="center" vertical="center"/>
    </xf>
    <xf numFmtId="0" fontId="44" fillId="24" borderId="11" xfId="47" applyFont="1" applyFill="1" applyBorder="1" applyAlignment="1">
      <alignment horizontal="center" vertical="center"/>
    </xf>
    <xf numFmtId="0" fontId="44" fillId="24" borderId="13" xfId="47" applyFont="1" applyFill="1" applyBorder="1" applyAlignment="1">
      <alignment horizontal="center" vertical="center"/>
    </xf>
    <xf numFmtId="0" fontId="8" fillId="0" borderId="0" xfId="46" applyFont="1" applyFill="1" applyBorder="1" applyAlignment="1">
      <alignment horizontal="center" vertical="center"/>
    </xf>
    <xf numFmtId="0" fontId="33" fillId="0" borderId="12" xfId="47" applyFont="1" applyBorder="1" applyAlignment="1">
      <alignment horizontal="center" vertical="center" wrapText="1" shrinkToFit="1"/>
    </xf>
    <xf numFmtId="0" fontId="34" fillId="0" borderId="12" xfId="49" applyFont="1" applyBorder="1" applyAlignment="1">
      <alignment horizontal="center" vertical="center"/>
    </xf>
    <xf numFmtId="0" fontId="32" fillId="0" borderId="14" xfId="44" applyFont="1" applyBorder="1" applyAlignment="1">
      <alignment horizontal="center" vertical="center"/>
    </xf>
    <xf numFmtId="14" fontId="30" fillId="0" borderId="11" xfId="47" applyNumberFormat="1" applyFont="1" applyBorder="1" applyAlignment="1">
      <alignment horizontal="center" vertical="center"/>
    </xf>
    <xf numFmtId="0" fontId="30" fillId="0" borderId="14" xfId="47" applyFont="1" applyBorder="1" applyAlignment="1">
      <alignment horizontal="center" vertical="center"/>
    </xf>
    <xf numFmtId="0" fontId="30" fillId="0" borderId="13" xfId="47" applyFont="1" applyBorder="1" applyAlignment="1">
      <alignment horizontal="center" vertical="center"/>
    </xf>
    <xf numFmtId="0" fontId="8" fillId="0" borderId="0" xfId="46" applyFont="1" applyFill="1" applyBorder="1" applyAlignment="1">
      <alignment horizontal="center" vertical="center" wrapText="1"/>
    </xf>
    <xf numFmtId="0" fontId="32" fillId="0" borderId="0" xfId="44" applyFont="1" applyAlignment="1">
      <alignment horizontal="center" vertical="center"/>
    </xf>
    <xf numFmtId="0" fontId="30" fillId="0" borderId="11" xfId="47" applyFont="1" applyBorder="1" applyAlignment="1">
      <alignment horizontal="center" vertical="center"/>
    </xf>
    <xf numFmtId="0" fontId="39" fillId="0" borderId="11" xfId="48" applyFont="1" applyBorder="1" applyAlignment="1">
      <alignment horizontal="left" vertical="center" wrapText="1"/>
    </xf>
    <xf numFmtId="0" fontId="39" fillId="0" borderId="17" xfId="48" applyFont="1" applyBorder="1" applyAlignment="1">
      <alignment horizontal="left" vertical="center" wrapText="1"/>
    </xf>
    <xf numFmtId="0" fontId="39" fillId="0" borderId="18" xfId="48" applyFont="1" applyBorder="1" applyAlignment="1">
      <alignment horizontal="left" vertical="center" wrapText="1"/>
    </xf>
    <xf numFmtId="0" fontId="39" fillId="0" borderId="10" xfId="48" applyFont="1" applyBorder="1" applyAlignment="1">
      <alignment vertical="center"/>
    </xf>
    <xf numFmtId="0" fontId="37" fillId="0" borderId="0" xfId="45" applyFont="1" applyBorder="1" applyAlignment="1">
      <alignment horizontal="center"/>
    </xf>
    <xf numFmtId="0" fontId="45" fillId="24" borderId="11" xfId="48" applyFont="1" applyFill="1" applyBorder="1" applyAlignment="1">
      <alignment horizontal="center" vertical="center"/>
    </xf>
    <xf numFmtId="0" fontId="45" fillId="24" borderId="14" xfId="48" applyFont="1" applyFill="1" applyBorder="1" applyAlignment="1">
      <alignment horizontal="center" vertical="center"/>
    </xf>
    <xf numFmtId="0" fontId="45" fillId="24" borderId="13" xfId="48" applyFont="1" applyFill="1" applyBorder="1" applyAlignment="1">
      <alignment horizontal="center" vertical="center"/>
    </xf>
    <xf numFmtId="0" fontId="39" fillId="0" borderId="11" xfId="48" applyFont="1" applyBorder="1" applyAlignment="1">
      <alignment vertical="center"/>
    </xf>
    <xf numFmtId="0" fontId="39" fillId="0" borderId="17" xfId="48" applyFont="1" applyBorder="1" applyAlignment="1">
      <alignment vertical="center"/>
    </xf>
    <xf numFmtId="0" fontId="39" fillId="0" borderId="18" xfId="48" applyFont="1" applyBorder="1" applyAlignment="1">
      <alignment vertical="center"/>
    </xf>
    <xf numFmtId="0" fontId="36" fillId="0" borderId="0" xfId="0" quotePrefix="1" applyFont="1" applyAlignment="1">
      <alignment vertical="center"/>
    </xf>
    <xf numFmtId="0" fontId="36" fillId="0" borderId="0" xfId="0" applyFont="1" applyAlignment="1">
      <alignment vertical="center"/>
    </xf>
    <xf numFmtId="0" fontId="58" fillId="26" borderId="11" xfId="0" applyFont="1" applyFill="1" applyBorder="1" applyAlignment="1">
      <alignment horizontal="center" vertical="center"/>
    </xf>
    <xf numFmtId="0" fontId="58" fillId="26" borderId="14" xfId="0" applyFont="1" applyFill="1" applyBorder="1" applyAlignment="1">
      <alignment horizontal="center" vertical="center"/>
    </xf>
    <xf numFmtId="0" fontId="58" fillId="26" borderId="13" xfId="0" applyFont="1" applyFill="1" applyBorder="1" applyAlignment="1">
      <alignment horizontal="center" vertical="center"/>
    </xf>
    <xf numFmtId="0" fontId="58" fillId="26" borderId="15" xfId="0" applyFont="1" applyFill="1" applyBorder="1" applyAlignment="1">
      <alignment horizontal="center" vertical="center" wrapText="1"/>
    </xf>
    <xf numFmtId="0" fontId="58" fillId="26" borderId="16" xfId="0" applyFont="1" applyFill="1" applyBorder="1" applyAlignment="1">
      <alignment horizontal="center" vertical="center" wrapText="1"/>
    </xf>
    <xf numFmtId="0" fontId="58" fillId="26" borderId="10" xfId="0" applyFont="1" applyFill="1" applyBorder="1" applyAlignment="1">
      <alignment horizontal="center" vertical="center" wrapText="1"/>
    </xf>
    <xf numFmtId="0" fontId="51" fillId="34" borderId="12" xfId="0" applyFont="1" applyFill="1" applyBorder="1" applyAlignment="1">
      <alignment horizontal="left" vertical="center" wrapText="1"/>
    </xf>
    <xf numFmtId="0" fontId="64" fillId="43" borderId="20" xfId="50" applyFont="1" applyFill="1" applyBorder="1" applyAlignment="1">
      <alignment horizontal="left" vertical="top" wrapText="1"/>
    </xf>
  </cellXfs>
  <cellStyles count="55">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25" builtinId="11" customBuiltin="1"/>
    <cellStyle name="계산" xfId="26" builtinId="22" customBuiltin="1"/>
    <cellStyle name="나쁨" xfId="27" builtinId="27" customBuiltin="1"/>
    <cellStyle name="메모" xfId="28" builtinId="10" customBuiltin="1"/>
    <cellStyle name="백분율" xfId="51" builtinId="5"/>
    <cellStyle name="보통" xfId="29" builtinId="28" customBuiltin="1"/>
    <cellStyle name="설명 텍스트" xfId="30" builtinId="53" customBuiltin="1"/>
    <cellStyle name="셀 확인" xfId="31" builtinId="23" customBuiltin="1"/>
    <cellStyle name="스타일 1" xfId="32"/>
    <cellStyle name="연결된 셀" xfId="33" builtinId="24" customBuiltin="1"/>
    <cellStyle name="요약" xfId="34" builtinId="25" customBuiltin="1"/>
    <cellStyle name="입력" xfId="35" builtinId="20" customBuiltin="1"/>
    <cellStyle name="제목" xfId="36" builtinId="15" customBuiltin="1"/>
    <cellStyle name="제목 1" xfId="37" builtinId="16" customBuiltin="1"/>
    <cellStyle name="제목 2" xfId="38" builtinId="17" customBuiltin="1"/>
    <cellStyle name="제목 3" xfId="39" builtinId="18" customBuiltin="1"/>
    <cellStyle name="제목 4" xfId="40" builtinId="19" customBuiltin="1"/>
    <cellStyle name="좋음" xfId="41" builtinId="26" customBuiltin="1"/>
    <cellStyle name="출력" xfId="42" builtinId="21" customBuiltin="1"/>
    <cellStyle name="표준" xfId="0" builtinId="0"/>
    <cellStyle name="표준 10 3" xfId="53"/>
    <cellStyle name="표준 100" xfId="54"/>
    <cellStyle name="표준 11" xfId="50"/>
    <cellStyle name="표준 22" xfId="49"/>
    <cellStyle name="표준 3" xfId="52"/>
    <cellStyle name="표준_KB_양식_요구 사항 관리_요구 사항 추적 매트릭스_draft" xfId="43"/>
    <cellStyle name="표준_KB_양식_요구 사항 관리_요구 사항 추적 매트릭스_draft_보고문서_XLS양식_v1.00" xfId="44"/>
    <cellStyle name="표준_KB_양식_요구 사항 관리_요구 사항 추적 매트릭스_draft_차피엠_이슈관리대장(양식)_표준용_v0.1" xfId="45"/>
    <cellStyle name="표준_별첨표지 및 제개정이력" xfId="46"/>
    <cellStyle name="표준_별첨표지 및 제개정이력_보고문서_XLS양식_v1.00" xfId="47"/>
    <cellStyle name="표준_별첨표지 및 제개정이력_차피엠_이슈관리대장(양식)_표준용_v0.1" xfId="48"/>
  </cellStyles>
  <dxfs count="2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alignment horizontal="center" readingOrder="0"/>
    </dxf>
    <dxf>
      <alignment horizontal="center" readingOrder="0"/>
    </dxf>
    <dxf>
      <alignment horizontal="center" readingOrder="0"/>
    </dxf>
    <dxf>
      <alignment horizontal="center" readingOrder="0"/>
    </dxf>
    <dxf>
      <alignment horizontal="center"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color rgb="FFFF0000"/>
      </font>
    </dxf>
    <dxf>
      <font>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border>
        <left style="thin">
          <color auto="1"/>
        </left>
        <top style="thin">
          <color auto="1"/>
        </top>
        <bottom style="thin">
          <color auto="1"/>
        </bottom>
        <vertical style="thin">
          <color auto="1"/>
        </vertical>
        <horizontal style="thin">
          <color auto="1"/>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9" tint="0.79998168889431442"/>
        </patternFill>
      </fill>
    </dxf>
    <dxf>
      <fill>
        <patternFill patternType="solid">
          <bgColor theme="9" tint="0.79998168889431442"/>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fill>
        <patternFill patternType="solid">
          <bgColor rgb="FFFFFF00"/>
        </patternFill>
      </fill>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fill>
        <patternFill patternType="none">
          <bgColor auto="1"/>
        </patternFill>
      </fill>
    </dxf>
    <dxf>
      <fill>
        <patternFill patternType="none">
          <bgColor auto="1"/>
        </patternFill>
      </fill>
    </dxf>
    <dxf>
      <alignment horizontal="center" readingOrder="0"/>
    </dxf>
    <dxf>
      <alignment horizontal="center" readingOrder="0"/>
    </dxf>
    <dxf>
      <alignment horizontal="center" readingOrder="0"/>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ont>
        <name val="KB금융 본문체 Medium"/>
        <scheme val="none"/>
      </font>
    </dxf>
    <dxf>
      <fill>
        <patternFill>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alignment horizontal="left" readingOrder="0"/>
    </dxf>
    <dxf>
      <alignment horizontal="center" readingOrder="0"/>
    </dxf>
    <dxf>
      <alignment horizontal="center" readingOrder="0"/>
    </dxf>
    <dxf>
      <alignment horizontal="center" readingOrder="0"/>
    </dxf>
    <dxf>
      <fill>
        <patternFill patternType="solid">
          <bgColor theme="9" tint="0.79998168889431442"/>
        </patternFill>
      </fill>
    </dxf>
    <dxf>
      <fill>
        <patternFill patternType="solid">
          <bgColor theme="9" tint="0.79998168889431442"/>
        </patternFill>
      </fill>
    </dxf>
  </dxfs>
  <tableStyles count="0" defaultTableStyle="TableStyleMedium9" defaultPivotStyle="PivotStyleLight16"/>
  <colors>
    <mruColors>
      <color rgb="FF0000FF"/>
      <color rgb="FFFF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0</xdr:rowOff>
    </xdr:from>
    <xdr:to>
      <xdr:col>4</xdr:col>
      <xdr:colOff>381000</xdr:colOff>
      <xdr:row>0</xdr:row>
      <xdr:rowOff>0</xdr:rowOff>
    </xdr:to>
    <xdr:pic>
      <xdr:nvPicPr>
        <xdr:cNvPr id="13383" name="Picture 4" descr="n-GIANT-16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9300" y="0"/>
          <a:ext cx="14097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739588</xdr:colOff>
      <xdr:row>193</xdr:row>
      <xdr:rowOff>22411</xdr:rowOff>
    </xdr:from>
    <xdr:to>
      <xdr:col>15</xdr:col>
      <xdr:colOff>1412874</xdr:colOff>
      <xdr:row>201</xdr:row>
      <xdr:rowOff>125537</xdr:rowOff>
    </xdr:to>
    <xdr:pic>
      <xdr:nvPicPr>
        <xdr:cNvPr id="3" name="그림 2"/>
        <xdr:cNvPicPr>
          <a:picLocks noChangeAspect="1"/>
        </xdr:cNvPicPr>
      </xdr:nvPicPr>
      <xdr:blipFill>
        <a:blip xmlns:r="http://schemas.openxmlformats.org/officeDocument/2006/relationships" r:embed="rId1"/>
        <a:stretch>
          <a:fillRect/>
        </a:stretch>
      </xdr:blipFill>
      <xdr:spPr>
        <a:xfrm>
          <a:off x="20540382" y="11127440"/>
          <a:ext cx="3585881" cy="14478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533400</xdr:colOff>
      <xdr:row>1</xdr:row>
      <xdr:rowOff>127001</xdr:rowOff>
    </xdr:from>
    <xdr:to>
      <xdr:col>11</xdr:col>
      <xdr:colOff>2190750</xdr:colOff>
      <xdr:row>11</xdr:row>
      <xdr:rowOff>31751</xdr:rowOff>
    </xdr:to>
    <xdr:sp macro="" textlink="">
      <xdr:nvSpPr>
        <xdr:cNvPr id="2" name="모서리가 둥근 직사각형 1"/>
        <xdr:cNvSpPr/>
      </xdr:nvSpPr>
      <xdr:spPr>
        <a:xfrm>
          <a:off x="533400" y="317501"/>
          <a:ext cx="10039350" cy="1809750"/>
        </a:xfrm>
        <a:prstGeom prst="roundRect">
          <a:avLst/>
        </a:prstGeom>
        <a:no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lnSpc>
              <a:spcPts val="1700"/>
            </a:lnSpc>
          </a:pPr>
          <a:r>
            <a:rPr lang="en-US" altLang="ko-KR" sz="1400" b="1" u="sng">
              <a:solidFill>
                <a:schemeClr val="tx1"/>
              </a:solidFill>
              <a:latin typeface="가는각진제목체" panose="02030600000101010101" pitchFamily="18" charset="-127"/>
              <a:ea typeface="가는각진제목체" panose="02030600000101010101" pitchFamily="18" charset="-127"/>
            </a:rPr>
            <a:t>[ </a:t>
          </a:r>
          <a:r>
            <a:rPr lang="ko-KR" altLang="en-US" sz="1400" b="1" u="sng">
              <a:solidFill>
                <a:schemeClr val="tx1"/>
              </a:solidFill>
              <a:latin typeface="가는각진제목체" panose="02030600000101010101" pitchFamily="18" charset="-127"/>
              <a:ea typeface="가는각진제목체" panose="02030600000101010101" pitchFamily="18" charset="-127"/>
            </a:rPr>
            <a:t>개요 </a:t>
          </a:r>
          <a:r>
            <a:rPr lang="en-US" altLang="ko-KR" sz="1400" b="1" u="sng">
              <a:solidFill>
                <a:schemeClr val="tx1"/>
              </a:solidFill>
              <a:latin typeface="가는각진제목체" panose="02030600000101010101" pitchFamily="18" charset="-127"/>
              <a:ea typeface="가는각진제목체" panose="02030600000101010101" pitchFamily="18" charset="-127"/>
            </a:rPr>
            <a:t>]</a:t>
          </a:r>
        </a:p>
        <a:p>
          <a:pPr algn="l">
            <a:lnSpc>
              <a:spcPts val="1500"/>
            </a:lnSpc>
          </a:pPr>
          <a:r>
            <a:rPr lang="en-US" altLang="ko-KR" sz="1200">
              <a:solidFill>
                <a:schemeClr val="tx1"/>
              </a:solidFill>
              <a:latin typeface="KB금융 본문체 Medium" panose="020B0603000000000000" pitchFamily="50" charset="-127"/>
              <a:ea typeface="KB금융 본문체 Medium" panose="020B0603000000000000" pitchFamily="50" charset="-127"/>
            </a:rPr>
            <a:t>-. </a:t>
          </a:r>
          <a:r>
            <a:rPr lang="ko-KR" altLang="en-US" sz="1200">
              <a:solidFill>
                <a:schemeClr val="tx1"/>
              </a:solidFill>
              <a:latin typeface="KB금융 본문체 Medium" panose="020B0603000000000000" pitchFamily="50" charset="-127"/>
              <a:ea typeface="KB금융 본문체 Medium" panose="020B0603000000000000" pitchFamily="50" charset="-127"/>
            </a:rPr>
            <a:t>요구사항명세서</a:t>
          </a:r>
          <a:r>
            <a:rPr lang="ko-KR" altLang="ko-KR" sz="1200">
              <a:solidFill>
                <a:schemeClr val="tx1"/>
              </a:solidFill>
              <a:effectLst/>
              <a:latin typeface="KB금융 본문체 Medium" panose="020B0603000000000000" pitchFamily="50" charset="-127"/>
              <a:ea typeface="KB금융 본문체 Medium" panose="020B0603000000000000" pitchFamily="50" charset="-127"/>
              <a:cs typeface="+mn-cs"/>
            </a:rPr>
            <a:t> 산출물은 </a:t>
          </a:r>
          <a:r>
            <a:rPr lang="en-US" altLang="ko-KR" sz="1200">
              <a:solidFill>
                <a:schemeClr val="tx1"/>
              </a:solidFill>
              <a:effectLst/>
              <a:latin typeface="KB금융 본문체 Medium" panose="020B0603000000000000" pitchFamily="50" charset="-127"/>
              <a:ea typeface="KB금융 본문체 Medium" panose="020B0603000000000000" pitchFamily="50" charset="-127"/>
              <a:cs typeface="+mn-cs"/>
            </a:rPr>
            <a:t> </a:t>
          </a:r>
          <a:r>
            <a:rPr lang="ko-KR" altLang="en-US" sz="1200">
              <a:solidFill>
                <a:schemeClr val="tx1"/>
              </a:solidFill>
              <a:latin typeface="KB금융 본문체 Medium" panose="020B0603000000000000" pitchFamily="50" charset="-127"/>
              <a:ea typeface="KB금융 본문체 Medium" panose="020B0603000000000000" pitchFamily="50" charset="-127"/>
            </a:rPr>
            <a:t>사용자로부터 업무 및</a:t>
          </a:r>
          <a:r>
            <a:rPr lang="ko-KR" altLang="en-US" sz="1200" baseline="0">
              <a:solidFill>
                <a:schemeClr val="tx1"/>
              </a:solidFill>
              <a:latin typeface="KB금융 본문체 Medium" panose="020B0603000000000000" pitchFamily="50" charset="-127"/>
              <a:ea typeface="KB금융 본문체 Medium" panose="020B0603000000000000" pitchFamily="50" charset="-127"/>
            </a:rPr>
            <a:t> 시스템에</a:t>
          </a:r>
          <a:r>
            <a:rPr lang="ko-KR" altLang="en-US" sz="1200">
              <a:solidFill>
                <a:schemeClr val="tx1"/>
              </a:solidFill>
              <a:latin typeface="KB금융 본문체 Medium" panose="020B0603000000000000" pitchFamily="50" charset="-127"/>
              <a:ea typeface="KB금융 본문체 Medium" panose="020B0603000000000000" pitchFamily="50" charset="-127"/>
            </a:rPr>
            <a:t> 대한 문제점 및 개선사항을 수집하여 요구사항을 식별하고</a:t>
          </a:r>
          <a:r>
            <a:rPr lang="en-US" altLang="ko-KR" sz="1200">
              <a:solidFill>
                <a:schemeClr val="tx1"/>
              </a:solidFill>
              <a:latin typeface="KB금융 본문체 Medium" panose="020B0603000000000000" pitchFamily="50" charset="-127"/>
              <a:ea typeface="KB금융 본문체 Medium" panose="020B0603000000000000" pitchFamily="50" charset="-127"/>
            </a:rPr>
            <a:t>, </a:t>
          </a:r>
          <a:r>
            <a:rPr lang="ko-KR" altLang="en-US" sz="1200">
              <a:solidFill>
                <a:schemeClr val="tx1"/>
              </a:solidFill>
              <a:latin typeface="KB금융 본문체 Medium" panose="020B0603000000000000" pitchFamily="50" charset="-127"/>
              <a:ea typeface="KB금융 본문체 Medium" panose="020B0603000000000000" pitchFamily="50" charset="-127"/>
            </a:rPr>
            <a:t>요구사항을 달성하기 위해 시스템이    제공해야하는 서비스와 사용자가 기대하는 서비스 품질수준을 정의한다</a:t>
          </a:r>
          <a:r>
            <a:rPr lang="en-US" altLang="ko-KR" sz="1200">
              <a:solidFill>
                <a:schemeClr val="tx1"/>
              </a:solidFill>
              <a:latin typeface="KB금융 본문체 Medium" panose="020B0603000000000000" pitchFamily="50" charset="-127"/>
              <a:ea typeface="KB금융 본문체 Medium" panose="020B0603000000000000" pitchFamily="50" charset="-127"/>
            </a:rPr>
            <a:t>.</a:t>
          </a:r>
        </a:p>
        <a:p>
          <a:pPr algn="l">
            <a:lnSpc>
              <a:spcPts val="1500"/>
            </a:lnSpc>
          </a:pPr>
          <a:r>
            <a:rPr lang="en-US" altLang="ko-KR" sz="1200">
              <a:solidFill>
                <a:schemeClr val="tx1"/>
              </a:solidFill>
              <a:latin typeface="KB금융 본문체 Medium" panose="020B0603000000000000" pitchFamily="50" charset="-127"/>
              <a:ea typeface="KB금융 본문체 Medium" panose="020B0603000000000000" pitchFamily="50" charset="-127"/>
            </a:rPr>
            <a:t>-. </a:t>
          </a:r>
          <a:r>
            <a:rPr lang="ko-KR" altLang="en-US" sz="1200">
              <a:solidFill>
                <a:schemeClr val="tx1"/>
              </a:solidFill>
              <a:latin typeface="KB금융 본문체 Medium" panose="020B0603000000000000" pitchFamily="50" charset="-127"/>
              <a:ea typeface="KB금융 본문체 Medium" panose="020B0603000000000000" pitchFamily="50" charset="-127"/>
            </a:rPr>
            <a:t>본 활동은 </a:t>
          </a:r>
          <a:r>
            <a:rPr lang="ko-KR" altLang="en-US" sz="1200" b="1">
              <a:solidFill>
                <a:srgbClr val="FF0000"/>
              </a:solidFill>
              <a:latin typeface="KB금융 본문체 Medium" panose="020B0603000000000000" pitchFamily="50" charset="-127"/>
              <a:ea typeface="KB금융 본문체 Medium" panose="020B0603000000000000" pitchFamily="50" charset="-127"/>
            </a:rPr>
            <a:t>구축요건정의서</a:t>
          </a:r>
          <a:r>
            <a:rPr lang="en-US" altLang="ko-KR" sz="1200" b="1">
              <a:solidFill>
                <a:srgbClr val="FF0000"/>
              </a:solidFill>
              <a:latin typeface="KB금융 본문체 Medium" panose="020B0603000000000000" pitchFamily="50" charset="-127"/>
              <a:ea typeface="KB금융 본문체 Medium" panose="020B0603000000000000" pitchFamily="50" charset="-127"/>
            </a:rPr>
            <a:t>(</a:t>
          </a:r>
          <a:r>
            <a:rPr lang="ko-KR" altLang="en-US" sz="1200" b="1">
              <a:solidFill>
                <a:srgbClr val="FF0000"/>
              </a:solidFill>
              <a:latin typeface="KB금융 본문체 Medium" panose="020B0603000000000000" pitchFamily="50" charset="-127"/>
              <a:ea typeface="KB금융 본문체 Medium" panose="020B0603000000000000" pitchFamily="50" charset="-127"/>
            </a:rPr>
            <a:t>현업 작성</a:t>
          </a:r>
          <a:r>
            <a:rPr lang="en-US" altLang="ko-KR" sz="1200" b="1">
              <a:solidFill>
                <a:srgbClr val="FF0000"/>
              </a:solidFill>
              <a:latin typeface="KB금융 본문체 Medium" panose="020B0603000000000000" pitchFamily="50" charset="-127"/>
              <a:ea typeface="KB금융 본문체 Medium" panose="020B0603000000000000" pitchFamily="50" charset="-127"/>
            </a:rPr>
            <a:t>)</a:t>
          </a:r>
          <a:r>
            <a:rPr lang="ko-KR" altLang="en-US" sz="1200">
              <a:solidFill>
                <a:schemeClr val="tx1"/>
              </a:solidFill>
              <a:latin typeface="KB금융 본문체 Medium" panose="020B0603000000000000" pitchFamily="50" charset="-127"/>
              <a:ea typeface="KB금융 본문체 Medium" panose="020B0603000000000000" pitchFamily="50" charset="-127"/>
            </a:rPr>
            <a:t>를 기초로 식별된 프로세스에 대하여 요건을 수용하기 위한 정보항목을 구체화하여 작성한다</a:t>
          </a:r>
          <a:r>
            <a:rPr lang="en-US" altLang="ko-KR" sz="1200">
              <a:solidFill>
                <a:schemeClr val="tx1"/>
              </a:solidFill>
              <a:latin typeface="KB금융 본문체 Medium" panose="020B0603000000000000" pitchFamily="50" charset="-127"/>
              <a:ea typeface="KB금융 본문체 Medium" panose="020B0603000000000000" pitchFamily="50" charset="-127"/>
            </a:rPr>
            <a:t>.</a:t>
          </a:r>
        </a:p>
        <a:p>
          <a:pPr algn="l">
            <a:lnSpc>
              <a:spcPts val="1500"/>
            </a:lnSpc>
          </a:pPr>
          <a:r>
            <a:rPr lang="en-US" altLang="ko-KR" sz="1200" baseline="0">
              <a:solidFill>
                <a:schemeClr val="tx1"/>
              </a:solidFill>
              <a:latin typeface="KB금융 본문체 Medium" panose="020B0603000000000000" pitchFamily="50" charset="-127"/>
              <a:ea typeface="KB금융 본문체 Medium" panose="020B0603000000000000" pitchFamily="50" charset="-127"/>
            </a:rPr>
            <a:t>-. </a:t>
          </a:r>
          <a:r>
            <a:rPr lang="ko-KR" altLang="en-US" sz="1200" baseline="0">
              <a:solidFill>
                <a:schemeClr val="tx1"/>
              </a:solidFill>
              <a:latin typeface="KB금융 본문체 Medium" panose="020B0603000000000000" pitchFamily="50" charset="-127"/>
              <a:ea typeface="KB금융 본문체 Medium" panose="020B0603000000000000" pitchFamily="50" charset="-127"/>
            </a:rPr>
            <a:t>템플릿에 별도 항목 추가 필요시에는 기존항목을 변경하지 않고 </a:t>
          </a:r>
          <a:r>
            <a:rPr lang="en-US" altLang="ko-KR" sz="1200" baseline="0">
              <a:solidFill>
                <a:schemeClr val="tx1"/>
              </a:solidFill>
              <a:latin typeface="KB금융 본문체 Medium" panose="020B0603000000000000" pitchFamily="50" charset="-127"/>
              <a:ea typeface="KB금융 본문체 Medium" panose="020B0603000000000000" pitchFamily="50" charset="-127"/>
            </a:rPr>
            <a:t>Sheet </a:t>
          </a:r>
          <a:r>
            <a:rPr lang="ko-KR" altLang="en-US" sz="1200" baseline="0">
              <a:solidFill>
                <a:schemeClr val="tx1"/>
              </a:solidFill>
              <a:latin typeface="KB금융 본문체 Medium" panose="020B0603000000000000" pitchFamily="50" charset="-127"/>
              <a:ea typeface="KB금융 본문체 Medium" panose="020B0603000000000000" pitchFamily="50" charset="-127"/>
            </a:rPr>
            <a:t>맨뒤에 항목을 추가하여 작성한다</a:t>
          </a:r>
          <a:r>
            <a:rPr lang="en-US" altLang="ko-KR" sz="1200" baseline="0">
              <a:solidFill>
                <a:schemeClr val="tx1"/>
              </a:solidFill>
              <a:latin typeface="KB금융 본문체 Medium" panose="020B0603000000000000" pitchFamily="50" charset="-127"/>
              <a:ea typeface="KB금융 본문체 Medium" panose="020B0603000000000000" pitchFamily="50" charset="-127"/>
            </a:rPr>
            <a:t>.  </a:t>
          </a:r>
        </a:p>
        <a:p>
          <a:pPr algn="l">
            <a:lnSpc>
              <a:spcPts val="1500"/>
            </a:lnSpc>
          </a:pPr>
          <a:r>
            <a:rPr lang="en-US" altLang="ko-KR" sz="1200" b="1" baseline="0">
              <a:solidFill>
                <a:schemeClr val="tx1"/>
              </a:solidFill>
              <a:latin typeface="KB금융 본문체 Medium" panose="020B0603000000000000" pitchFamily="50" charset="-127"/>
              <a:ea typeface="KB금융 본문체 Medium" panose="020B0603000000000000" pitchFamily="50" charset="-127"/>
            </a:rPr>
            <a:t>-. </a:t>
          </a:r>
          <a:r>
            <a:rPr lang="ko-KR" altLang="en-US" sz="1200" b="1" baseline="0">
              <a:solidFill>
                <a:schemeClr val="tx1"/>
              </a:solidFill>
              <a:latin typeface="KB금융 본문체 Medium" panose="020B0603000000000000" pitchFamily="50" charset="-127"/>
              <a:ea typeface="KB금융 본문체 Medium" panose="020B0603000000000000" pitchFamily="50" charset="-127"/>
            </a:rPr>
            <a:t>요구사항명세서 항목을 복사하여 요구사항추적표 작성에 사용한다</a:t>
          </a:r>
          <a:r>
            <a:rPr lang="en-US" altLang="ko-KR" sz="1200" b="1" baseline="0">
              <a:solidFill>
                <a:schemeClr val="tx1"/>
              </a:solidFill>
              <a:latin typeface="KB금융 본문체 Medium" panose="020B0603000000000000" pitchFamily="50" charset="-127"/>
              <a:ea typeface="KB금융 본문체 Medium" panose="020B0603000000000000" pitchFamily="50" charset="-127"/>
            </a:rPr>
            <a:t>.</a:t>
          </a:r>
        </a:p>
        <a:p>
          <a:pPr algn="l">
            <a:lnSpc>
              <a:spcPts val="1400"/>
            </a:lnSpc>
          </a:pPr>
          <a:r>
            <a:rPr lang="en-US" altLang="ko-KR" sz="1200" b="1" baseline="0">
              <a:solidFill>
                <a:srgbClr val="FF0000"/>
              </a:solidFill>
              <a:latin typeface="KB금융 본문체 Light" panose="020B0303000000000000" pitchFamily="50" charset="-127"/>
              <a:ea typeface="KB금융 본문체 Light" panose="020B0303000000000000" pitchFamily="50" charset="-127"/>
            </a:rPr>
            <a:t>-.</a:t>
          </a:r>
          <a:r>
            <a:rPr lang="ko-KR" altLang="en-US" sz="1200" b="1" baseline="0">
              <a:solidFill>
                <a:srgbClr val="FF0000"/>
              </a:solidFill>
              <a:latin typeface="KB금융 본문체 Light" panose="020B0303000000000000" pitchFamily="50" charset="-127"/>
              <a:ea typeface="KB금융 본문체 Light" panose="020B0303000000000000" pitchFamily="50" charset="-127"/>
            </a:rPr>
            <a:t>작성비대상인 경우는 비워두지말고 </a:t>
          </a:r>
          <a:r>
            <a:rPr lang="en-US" altLang="ko-KR" sz="1200" b="1" baseline="0">
              <a:solidFill>
                <a:srgbClr val="FF0000"/>
              </a:solidFill>
              <a:latin typeface="KB금융 본문체 Light" panose="020B0303000000000000" pitchFamily="50" charset="-127"/>
              <a:ea typeface="KB금융 본문체 Light" panose="020B0303000000000000" pitchFamily="50" charset="-127"/>
            </a:rPr>
            <a:t>N/A</a:t>
          </a:r>
          <a:r>
            <a:rPr lang="ko-KR" altLang="en-US" sz="1200" b="1" baseline="0">
              <a:solidFill>
                <a:srgbClr val="FF0000"/>
              </a:solidFill>
              <a:latin typeface="KB금융 본문체 Light" panose="020B0303000000000000" pitchFamily="50" charset="-127"/>
              <a:ea typeface="KB금융 본문체 Light" panose="020B0303000000000000" pitchFamily="50" charset="-127"/>
            </a:rPr>
            <a:t>표시</a:t>
          </a:r>
          <a:r>
            <a:rPr lang="en-US" altLang="ko-KR" sz="1200" b="1" baseline="0">
              <a:solidFill>
                <a:srgbClr val="FF0000"/>
              </a:solidFill>
              <a:latin typeface="KB금융 본문체 Light" panose="020B0303000000000000" pitchFamily="50" charset="-127"/>
              <a:ea typeface="KB금융 본문체 Light" panose="020B0303000000000000" pitchFamily="50" charset="-127"/>
            </a:rPr>
            <a:t>(</a:t>
          </a:r>
          <a:r>
            <a:rPr lang="ko-KR" altLang="en-US" sz="1200" b="1" baseline="0">
              <a:solidFill>
                <a:srgbClr val="FF0000"/>
              </a:solidFill>
              <a:latin typeface="KB금융 본문체 Light" panose="020B0303000000000000" pitchFamily="50" charset="-127"/>
              <a:ea typeface="KB금융 본문체 Light" panose="020B0303000000000000" pitchFamily="50" charset="-127"/>
            </a:rPr>
            <a:t>빈칸인 경우 누락인지 알수 없음</a:t>
          </a:r>
          <a:r>
            <a:rPr lang="en-US" altLang="ko-KR" sz="1200" b="1" baseline="0">
              <a:solidFill>
                <a:srgbClr val="FF0000"/>
              </a:solidFill>
              <a:latin typeface="KB금융 본문체 Light" panose="020B0303000000000000" pitchFamily="50" charset="-127"/>
              <a:ea typeface="KB금융 본문체 Light" panose="020B0303000000000000" pitchFamily="50" charset="-127"/>
            </a:rPr>
            <a:t>)  </a:t>
          </a:r>
          <a:endParaRPr lang="ko-KR" altLang="en-US" sz="1200" b="1">
            <a:solidFill>
              <a:srgbClr val="FF0000"/>
            </a:solidFill>
            <a:latin typeface="KB금융 본문체 Light" panose="020B0303000000000000" pitchFamily="50" charset="-127"/>
            <a:ea typeface="KB금융 본문체 Light" panose="020B0303000000000000" pitchFamily="50" charset="-127"/>
          </a:endParaRPr>
        </a:p>
      </xdr:txBody>
    </xdr:sp>
    <xdr:clientData/>
  </xdr:twoCellAnchor>
  <xdr:twoCellAnchor>
    <xdr:from>
      <xdr:col>1</xdr:col>
      <xdr:colOff>476250</xdr:colOff>
      <xdr:row>73</xdr:row>
      <xdr:rowOff>111125</xdr:rowOff>
    </xdr:from>
    <xdr:to>
      <xdr:col>11</xdr:col>
      <xdr:colOff>1085850</xdr:colOff>
      <xdr:row>107</xdr:row>
      <xdr:rowOff>87313</xdr:rowOff>
    </xdr:to>
    <xdr:grpSp>
      <xdr:nvGrpSpPr>
        <xdr:cNvPr id="4" name="그룹 3"/>
        <xdr:cNvGrpSpPr/>
      </xdr:nvGrpSpPr>
      <xdr:grpSpPr>
        <a:xfrm>
          <a:off x="1238250" y="14017625"/>
          <a:ext cx="8229600" cy="6453188"/>
          <a:chOff x="171450" y="2476500"/>
          <a:chExt cx="8229600" cy="7239000"/>
        </a:xfrm>
      </xdr:grpSpPr>
      <xdr:sp macro="" textlink="">
        <xdr:nvSpPr>
          <xdr:cNvPr id="5" name="모서리가 둥근 직사각형 4"/>
          <xdr:cNvSpPr/>
        </xdr:nvSpPr>
        <xdr:spPr>
          <a:xfrm>
            <a:off x="171450" y="2476500"/>
            <a:ext cx="8229600" cy="7239000"/>
          </a:xfrm>
          <a:prstGeom prst="roundRect">
            <a:avLst/>
          </a:prstGeom>
          <a:no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700"/>
              </a:lnSpc>
            </a:pPr>
            <a:r>
              <a:rPr lang="en-US" altLang="ko-KR" sz="1400" b="1" u="sng">
                <a:solidFill>
                  <a:schemeClr val="tx1"/>
                </a:solidFill>
                <a:latin typeface="가는각진제목체" panose="02030600000101010101" pitchFamily="18" charset="-127"/>
                <a:ea typeface="가는각진제목체" panose="02030600000101010101" pitchFamily="18" charset="-127"/>
              </a:rPr>
              <a:t>[ IT</a:t>
            </a:r>
            <a:r>
              <a:rPr lang="ko-KR" altLang="en-US" sz="1400" b="1" u="sng">
                <a:solidFill>
                  <a:schemeClr val="tx1"/>
                </a:solidFill>
                <a:latin typeface="가는각진제목체" panose="02030600000101010101" pitchFamily="18" charset="-127"/>
                <a:ea typeface="가는각진제목체" panose="02030600000101010101" pitchFamily="18" charset="-127"/>
              </a:rPr>
              <a:t>프로세스 식별 </a:t>
            </a:r>
            <a:r>
              <a:rPr lang="en-US" altLang="ko-KR" sz="1400" b="1" u="sng">
                <a:solidFill>
                  <a:schemeClr val="tx1"/>
                </a:solidFill>
                <a:latin typeface="가는각진제목체" panose="02030600000101010101" pitchFamily="18" charset="-127"/>
                <a:ea typeface="가는각진제목체" panose="02030600000101010101" pitchFamily="18" charset="-127"/>
              </a:rPr>
              <a:t>]</a:t>
            </a:r>
          </a:p>
        </xdr:txBody>
      </xdr:sp>
      <xdr:pic>
        <xdr:nvPicPr>
          <xdr:cNvPr id="6" name="그림 5"/>
          <xdr:cNvPicPr>
            <a:picLocks noChangeAspect="1"/>
          </xdr:cNvPicPr>
        </xdr:nvPicPr>
        <xdr:blipFill>
          <a:blip xmlns:r="http://schemas.openxmlformats.org/officeDocument/2006/relationships" r:embed="rId1"/>
          <a:stretch>
            <a:fillRect/>
          </a:stretch>
        </xdr:blipFill>
        <xdr:spPr>
          <a:xfrm>
            <a:off x="381000" y="3133724"/>
            <a:ext cx="7800975" cy="5324475"/>
          </a:xfrm>
          <a:prstGeom prst="rect">
            <a:avLst/>
          </a:prstGeom>
        </xdr:spPr>
      </xdr:pic>
    </xdr:grpSp>
    <xdr:clientData/>
  </xdr:twoCellAnchor>
  <xdr:twoCellAnchor>
    <xdr:from>
      <xdr:col>1</xdr:col>
      <xdr:colOff>571500</xdr:colOff>
      <xdr:row>117</xdr:row>
      <xdr:rowOff>47625</xdr:rowOff>
    </xdr:from>
    <xdr:to>
      <xdr:col>11</xdr:col>
      <xdr:colOff>1171575</xdr:colOff>
      <xdr:row>169</xdr:row>
      <xdr:rowOff>31750</xdr:rowOff>
    </xdr:to>
    <xdr:grpSp>
      <xdr:nvGrpSpPr>
        <xdr:cNvPr id="7" name="그룹 6"/>
        <xdr:cNvGrpSpPr/>
      </xdr:nvGrpSpPr>
      <xdr:grpSpPr>
        <a:xfrm>
          <a:off x="1333500" y="22336125"/>
          <a:ext cx="8220075" cy="9890125"/>
          <a:chOff x="171450" y="9906000"/>
          <a:chExt cx="8220075" cy="10229850"/>
        </a:xfrm>
      </xdr:grpSpPr>
      <xdr:pic>
        <xdr:nvPicPr>
          <xdr:cNvPr id="8" name="그림 7"/>
          <xdr:cNvPicPr>
            <a:picLocks noChangeAspect="1"/>
          </xdr:cNvPicPr>
        </xdr:nvPicPr>
        <xdr:blipFill>
          <a:blip xmlns:r="http://schemas.openxmlformats.org/officeDocument/2006/relationships" r:embed="rId2"/>
          <a:stretch>
            <a:fillRect/>
          </a:stretch>
        </xdr:blipFill>
        <xdr:spPr>
          <a:xfrm>
            <a:off x="600075" y="10639425"/>
            <a:ext cx="7296150" cy="4191000"/>
          </a:xfrm>
          <a:prstGeom prst="rect">
            <a:avLst/>
          </a:prstGeom>
        </xdr:spPr>
      </xdr:pic>
      <xdr:sp macro="" textlink="">
        <xdr:nvSpPr>
          <xdr:cNvPr id="9" name="모서리가 둥근 직사각형 8"/>
          <xdr:cNvSpPr/>
        </xdr:nvSpPr>
        <xdr:spPr>
          <a:xfrm>
            <a:off x="171450" y="9906000"/>
            <a:ext cx="8220075" cy="10229850"/>
          </a:xfrm>
          <a:prstGeom prst="roundRect">
            <a:avLst/>
          </a:prstGeom>
          <a:no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700"/>
              </a:lnSpc>
            </a:pPr>
            <a:r>
              <a:rPr lang="en-US" altLang="ko-KR" sz="1400" b="1" u="sng">
                <a:solidFill>
                  <a:schemeClr val="tx1"/>
                </a:solidFill>
                <a:latin typeface="가는각진제목체" panose="02030600000101010101" pitchFamily="18" charset="-127"/>
                <a:ea typeface="가는각진제목체" panose="02030600000101010101" pitchFamily="18" charset="-127"/>
              </a:rPr>
              <a:t> </a:t>
            </a:r>
            <a:endParaRPr lang="ko-KR" altLang="ko-KR" sz="1200">
              <a:solidFill>
                <a:schemeClr val="tx1"/>
              </a:solidFill>
              <a:effectLst/>
              <a:latin typeface="가는각진제목체" panose="02030600000101010101" pitchFamily="18" charset="-127"/>
              <a:ea typeface="가는각진제목체" panose="02030600000101010101" pitchFamily="18" charset="-127"/>
            </a:endParaRPr>
          </a:p>
        </xdr:txBody>
      </xdr:sp>
      <xdr:pic>
        <xdr:nvPicPr>
          <xdr:cNvPr id="10" name="그림 9"/>
          <xdr:cNvPicPr>
            <a:picLocks noChangeAspect="1"/>
          </xdr:cNvPicPr>
        </xdr:nvPicPr>
        <xdr:blipFill>
          <a:blip xmlns:r="http://schemas.openxmlformats.org/officeDocument/2006/relationships" r:embed="rId3"/>
          <a:stretch>
            <a:fillRect/>
          </a:stretch>
        </xdr:blipFill>
        <xdr:spPr>
          <a:xfrm>
            <a:off x="666750" y="15449549"/>
            <a:ext cx="7161905" cy="3571875"/>
          </a:xfrm>
          <a:prstGeom prst="rect">
            <a:avLst/>
          </a:prstGeom>
        </xdr:spPr>
      </xdr:pic>
    </xdr:grpSp>
    <xdr:clientData/>
  </xdr:twoCellAnchor>
  <xdr:twoCellAnchor>
    <xdr:from>
      <xdr:col>0</xdr:col>
      <xdr:colOff>559777</xdr:colOff>
      <xdr:row>12</xdr:row>
      <xdr:rowOff>22844</xdr:rowOff>
    </xdr:from>
    <xdr:to>
      <xdr:col>10</xdr:col>
      <xdr:colOff>321652</xdr:colOff>
      <xdr:row>66</xdr:row>
      <xdr:rowOff>54220</xdr:rowOff>
    </xdr:to>
    <xdr:grpSp>
      <xdr:nvGrpSpPr>
        <xdr:cNvPr id="15" name="그룹 14"/>
        <xdr:cNvGrpSpPr/>
      </xdr:nvGrpSpPr>
      <xdr:grpSpPr>
        <a:xfrm>
          <a:off x="559777" y="2308844"/>
          <a:ext cx="7381875" cy="10318376"/>
          <a:chOff x="476250" y="2476500"/>
          <a:chExt cx="9737768" cy="11457892"/>
        </a:xfrm>
      </xdr:grpSpPr>
      <xdr:pic>
        <xdr:nvPicPr>
          <xdr:cNvPr id="3" name="그림 2"/>
          <xdr:cNvPicPr>
            <a:picLocks noChangeAspect="1"/>
          </xdr:cNvPicPr>
        </xdr:nvPicPr>
        <xdr:blipFill>
          <a:blip xmlns:r="http://schemas.openxmlformats.org/officeDocument/2006/relationships" r:embed="rId4"/>
          <a:stretch>
            <a:fillRect/>
          </a:stretch>
        </xdr:blipFill>
        <xdr:spPr>
          <a:xfrm>
            <a:off x="762000" y="2476500"/>
            <a:ext cx="7914286" cy="6038095"/>
          </a:xfrm>
          <a:prstGeom prst="rect">
            <a:avLst/>
          </a:prstGeom>
        </xdr:spPr>
      </xdr:pic>
      <xdr:pic>
        <xdr:nvPicPr>
          <xdr:cNvPr id="14" name="그림 13"/>
          <xdr:cNvPicPr>
            <a:picLocks noChangeAspect="1"/>
          </xdr:cNvPicPr>
        </xdr:nvPicPr>
        <xdr:blipFill>
          <a:blip xmlns:r="http://schemas.openxmlformats.org/officeDocument/2006/relationships" r:embed="rId5"/>
          <a:stretch>
            <a:fillRect/>
          </a:stretch>
        </xdr:blipFill>
        <xdr:spPr>
          <a:xfrm>
            <a:off x="476250" y="8467725"/>
            <a:ext cx="9737768" cy="5466667"/>
          </a:xfrm>
          <a:prstGeom prst="rect">
            <a:avLst/>
          </a:prstGeom>
        </xdr:spPr>
      </xdr:pic>
    </xdr:grpSp>
    <xdr:clientData/>
  </xdr:twoCellAnchor>
  <xdr:twoCellAnchor>
    <xdr:from>
      <xdr:col>9</xdr:col>
      <xdr:colOff>66675</xdr:colOff>
      <xdr:row>26</xdr:row>
      <xdr:rowOff>14655</xdr:rowOff>
    </xdr:from>
    <xdr:to>
      <xdr:col>11</xdr:col>
      <xdr:colOff>2388577</xdr:colOff>
      <xdr:row>36</xdr:row>
      <xdr:rowOff>179295</xdr:rowOff>
    </xdr:to>
    <xdr:sp macro="" textlink="">
      <xdr:nvSpPr>
        <xdr:cNvPr id="11" name="사각형 설명선 10"/>
        <xdr:cNvSpPr/>
      </xdr:nvSpPr>
      <xdr:spPr bwMode="auto">
        <a:xfrm>
          <a:off x="6924675" y="4967655"/>
          <a:ext cx="3845902" cy="2069640"/>
        </a:xfrm>
        <a:prstGeom prst="wedgeRectCallout">
          <a:avLst>
            <a:gd name="adj1" fmla="val -111379"/>
            <a:gd name="adj2" fmla="val -5706"/>
          </a:avLst>
        </a:prstGeom>
        <a:solidFill>
          <a:srgbClr val="92D05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en-US" altLang="ko-KR" sz="1200" b="1" u="sng">
              <a:latin typeface="KB금융 본문체 Medium" panose="020B0603000000000000" pitchFamily="50" charset="-127"/>
              <a:ea typeface="KB금융 본문체 Medium" panose="020B0603000000000000" pitchFamily="50" charset="-127"/>
            </a:rPr>
            <a:t>[ </a:t>
          </a:r>
          <a:r>
            <a:rPr lang="ko-KR" altLang="en-US" sz="1200" b="1" u="sng">
              <a:latin typeface="KB금융 본문체 Medium" panose="020B0603000000000000" pitchFamily="50" charset="-127"/>
              <a:ea typeface="KB금융 본문체 Medium" panose="020B0603000000000000" pitchFamily="50" charset="-127"/>
            </a:rPr>
            <a:t>요구사항</a:t>
          </a:r>
          <a:r>
            <a:rPr lang="en-US" altLang="ko-KR" sz="1200" b="1" u="sng">
              <a:latin typeface="KB금융 본문체 Medium" panose="020B0603000000000000" pitchFamily="50" charset="-127"/>
              <a:ea typeface="KB금융 본문체 Medium" panose="020B0603000000000000" pitchFamily="50" charset="-127"/>
            </a:rPr>
            <a:t>ID</a:t>
          </a:r>
          <a:r>
            <a:rPr lang="ko-KR" altLang="en-US" sz="1200" b="1" u="sng">
              <a:latin typeface="KB금융 본문체 Medium" panose="020B0603000000000000" pitchFamily="50" charset="-127"/>
              <a:ea typeface="KB금융 본문체 Medium" panose="020B0603000000000000" pitchFamily="50" charset="-127"/>
            </a:rPr>
            <a:t>채번규칙 </a:t>
          </a:r>
          <a:r>
            <a:rPr lang="en-US" altLang="ko-KR" sz="1200" b="1" u="sng">
              <a:latin typeface="KB금융 본문체 Medium" panose="020B0603000000000000" pitchFamily="50" charset="-127"/>
              <a:ea typeface="KB금융 본문체 Medium" panose="020B0603000000000000" pitchFamily="50" charset="-127"/>
            </a:rPr>
            <a:t>]</a:t>
          </a:r>
        </a:p>
        <a:p>
          <a:pPr algn="l"/>
          <a:r>
            <a:rPr lang="en-US" altLang="ko-KR" sz="1200" b="1" u="sng">
              <a:latin typeface="KB금융 본문체 Medium" panose="020B0603000000000000" pitchFamily="50" charset="-127"/>
              <a:ea typeface="KB금융 본문체 Medium" panose="020B0603000000000000" pitchFamily="50" charset="-127"/>
            </a:rPr>
            <a:t>※\200.</a:t>
          </a:r>
          <a:r>
            <a:rPr lang="ko-KR" altLang="en-US" sz="1200" b="1" u="sng">
              <a:latin typeface="KB금융 본문체 Medium" panose="020B0603000000000000" pitchFamily="50" charset="-127"/>
              <a:ea typeface="KB금융 본문체 Medium" panose="020B0603000000000000" pitchFamily="50" charset="-127"/>
            </a:rPr>
            <a:t>프로젝트표준</a:t>
          </a:r>
          <a:r>
            <a:rPr lang="en-US" altLang="ko-KR" sz="1200" b="1" u="sng">
              <a:latin typeface="KB금융 본문체 Medium" panose="020B0603000000000000" pitchFamily="50" charset="-127"/>
              <a:ea typeface="KB금융 본문체 Medium" panose="020B0603000000000000" pitchFamily="50" charset="-127"/>
            </a:rPr>
            <a:t>\240.</a:t>
          </a:r>
          <a:r>
            <a:rPr lang="ko-KR" altLang="en-US" sz="1200" b="1" u="sng">
              <a:latin typeface="KB금융 본문체 Medium" panose="020B0603000000000000" pitchFamily="50" charset="-127"/>
              <a:ea typeface="KB금융 본문체 Medium" panose="020B0603000000000000" pitchFamily="50" charset="-127"/>
            </a:rPr>
            <a:t>개발</a:t>
          </a:r>
          <a:r>
            <a:rPr lang="en-US" altLang="ko-KR" sz="1200" b="1" u="sng">
              <a:latin typeface="KB금융 본문체 Medium" panose="020B0603000000000000" pitchFamily="50" charset="-127"/>
              <a:ea typeface="KB금융 본문체 Medium" panose="020B0603000000000000" pitchFamily="50" charset="-127"/>
            </a:rPr>
            <a:t>_</a:t>
          </a:r>
          <a:r>
            <a:rPr lang="ko-KR" altLang="en-US" sz="1200" b="1" u="sng">
              <a:latin typeface="KB금융 본문체 Medium" panose="020B0603000000000000" pitchFamily="50" charset="-127"/>
              <a:ea typeface="KB금융 본문체 Medium" panose="020B0603000000000000" pitchFamily="50" charset="-127"/>
            </a:rPr>
            <a:t>양식템플릿</a:t>
          </a:r>
          <a:r>
            <a:rPr lang="en-US" altLang="ko-KR" sz="1200" b="1" u="sng">
              <a:latin typeface="KB금융 본문체 Medium" panose="020B0603000000000000" pitchFamily="50" charset="-127"/>
              <a:ea typeface="KB금융 본문체 Medium" panose="020B0603000000000000" pitchFamily="50" charset="-127"/>
            </a:rPr>
            <a:t>\01.</a:t>
          </a:r>
          <a:r>
            <a:rPr lang="ko-KR" altLang="en-US" sz="1200" b="1" u="sng">
              <a:latin typeface="KB금융 본문체 Medium" panose="020B0603000000000000" pitchFamily="50" charset="-127"/>
              <a:ea typeface="KB금융 본문체 Medium" panose="020B0603000000000000" pitchFamily="50" charset="-127"/>
            </a:rPr>
            <a:t>요구사항정의</a:t>
          </a:r>
          <a:r>
            <a:rPr lang="en-US" altLang="ko-KR" sz="1200" b="1" u="sng">
              <a:latin typeface="KB금융 본문체 Medium" panose="020B0603000000000000" pitchFamily="50" charset="-127"/>
              <a:ea typeface="KB금융 본문체 Medium" panose="020B0603000000000000" pitchFamily="50" charset="-127"/>
            </a:rPr>
            <a:t>\NEW KB</a:t>
          </a:r>
          <a:r>
            <a:rPr lang="ko-KR" altLang="en-US" sz="1200" b="1" u="sng">
              <a:latin typeface="KB금융 본문체 Medium" panose="020B0603000000000000" pitchFamily="50" charset="-127"/>
              <a:ea typeface="KB금융 본문체 Medium" panose="020B0603000000000000" pitchFamily="50" charset="-127"/>
            </a:rPr>
            <a:t>스타뱅킹구축</a:t>
          </a:r>
          <a:r>
            <a:rPr lang="en-US" altLang="ko-KR" sz="1200" b="1" u="sng">
              <a:latin typeface="KB금융 본문체 Medium" panose="020B0603000000000000" pitchFamily="50" charset="-127"/>
              <a:ea typeface="KB금융 본문체 Medium" panose="020B0603000000000000" pitchFamily="50" charset="-127"/>
            </a:rPr>
            <a:t>-</a:t>
          </a:r>
          <a:r>
            <a:rPr lang="ko-KR" altLang="en-US" sz="1200" b="1" u="sng">
              <a:latin typeface="KB금융 본문체 Medium" panose="020B0603000000000000" pitchFamily="50" charset="-127"/>
              <a:ea typeface="KB금융 본문체 Medium" panose="020B0603000000000000" pitchFamily="50" charset="-127"/>
            </a:rPr>
            <a:t>요구사항</a:t>
          </a:r>
          <a:r>
            <a:rPr lang="en-US" altLang="ko-KR" sz="1200" b="1" u="sng">
              <a:latin typeface="KB금융 본문체 Medium" panose="020B0603000000000000" pitchFamily="50" charset="-127"/>
              <a:ea typeface="KB금융 본문체 Medium" panose="020B0603000000000000" pitchFamily="50" charset="-127"/>
            </a:rPr>
            <a:t>ID </a:t>
          </a:r>
          <a:r>
            <a:rPr lang="ko-KR" altLang="en-US" sz="1200" b="1" u="sng">
              <a:latin typeface="KB금융 본문체 Medium" panose="020B0603000000000000" pitchFamily="50" charset="-127"/>
              <a:ea typeface="KB금융 본문체 Medium" panose="020B0603000000000000" pitchFamily="50" charset="-127"/>
            </a:rPr>
            <a:t>채번규칙</a:t>
          </a:r>
          <a:r>
            <a:rPr lang="en-US" altLang="ko-KR" sz="1200" b="1" u="sng">
              <a:latin typeface="KB금융 본문체 Medium" panose="020B0603000000000000" pitchFamily="50" charset="-127"/>
              <a:ea typeface="KB금융 본문체 Medium" panose="020B0603000000000000" pitchFamily="50" charset="-127"/>
            </a:rPr>
            <a:t>.xlsx </a:t>
          </a:r>
          <a:r>
            <a:rPr lang="ko-KR" altLang="en-US" sz="1200" b="1" u="sng">
              <a:latin typeface="KB금융 본문체 Medium" panose="020B0603000000000000" pitchFamily="50" charset="-127"/>
              <a:ea typeface="KB금융 본문체 Medium" panose="020B0603000000000000" pitchFamily="50" charset="-127"/>
            </a:rPr>
            <a:t>참고</a:t>
          </a:r>
          <a:endParaRPr lang="en-US" altLang="ko-KR" sz="1200" b="1" u="sng">
            <a:latin typeface="KB금융 본문체 Medium" panose="020B0603000000000000" pitchFamily="50" charset="-127"/>
            <a:ea typeface="KB금융 본문체 Medium" panose="020B0603000000000000" pitchFamily="50" charset="-127"/>
          </a:endParaRPr>
        </a:p>
        <a:p>
          <a:pPr algn="l"/>
          <a:r>
            <a:rPr lang="en-US" altLang="ko-KR" sz="1000">
              <a:latin typeface="KB금융 본문체 Medium" panose="020B0603000000000000" pitchFamily="50" charset="-127"/>
              <a:ea typeface="KB금융 본문체 Medium" panose="020B0603000000000000" pitchFamily="50" charset="-127"/>
            </a:rPr>
            <a:t>1)</a:t>
          </a:r>
          <a:r>
            <a:rPr lang="ko-KR" altLang="en-US" sz="1000">
              <a:latin typeface="KB금융 본문체 Medium" panose="020B0603000000000000" pitchFamily="50" charset="-127"/>
              <a:ea typeface="KB금융 본문체 Medium" panose="020B0603000000000000" pitchFamily="50" charset="-127"/>
            </a:rPr>
            <a:t>전문위원 </a:t>
          </a:r>
          <a:r>
            <a:rPr lang="en-US" altLang="ko-KR" sz="1000">
              <a:latin typeface="KB금융 본문체 Medium" panose="020B0603000000000000" pitchFamily="50" charset="-127"/>
              <a:ea typeface="KB금융 본문체 Medium" panose="020B0603000000000000" pitchFamily="50" charset="-127"/>
            </a:rPr>
            <a:t>: AP</a:t>
          </a:r>
          <a:r>
            <a:rPr lang="ko-KR" altLang="en-US" sz="1000">
              <a:latin typeface="KB금융 본문체 Medium" panose="020B0603000000000000" pitchFamily="50" charset="-127"/>
              <a:ea typeface="KB금융 본문체 Medium" panose="020B0603000000000000" pitchFamily="50" charset="-127"/>
            </a:rPr>
            <a:t>코드</a:t>
          </a:r>
          <a:r>
            <a:rPr lang="en-US" altLang="ko-KR" sz="1000">
              <a:latin typeface="KB금융 본문체 Medium" panose="020B0603000000000000" pitchFamily="50" charset="-127"/>
              <a:ea typeface="KB금융 본문체 Medium" panose="020B0603000000000000" pitchFamily="50" charset="-127"/>
            </a:rPr>
            <a:t>-10000</a:t>
          </a:r>
          <a:r>
            <a:rPr lang="en-US" altLang="ko-KR" sz="1000" baseline="0">
              <a:latin typeface="KB금융 본문체 Medium" panose="020B0603000000000000" pitchFamily="50" charset="-127"/>
              <a:ea typeface="KB금융 본문체 Medium" panose="020B0603000000000000" pitchFamily="50" charset="-127"/>
            </a:rPr>
            <a:t> ~ 19999</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ko-KR" sz="1000" baseline="0">
              <a:effectLst/>
              <a:latin typeface="KB금융 본문체 Medium" panose="020B0603000000000000" pitchFamily="50" charset="-127"/>
              <a:ea typeface="KB금융 본문체 Medium" panose="020B0603000000000000" pitchFamily="50" charset="-127"/>
              <a:cs typeface="+mn-cs"/>
            </a:rPr>
            <a:t>2)</a:t>
          </a:r>
          <a:r>
            <a:rPr lang="ko-KR" altLang="en-US" sz="1000" baseline="0">
              <a:effectLst/>
              <a:latin typeface="KB금융 본문체 Medium" panose="020B0603000000000000" pitchFamily="50" charset="-127"/>
              <a:ea typeface="KB금융 본문체 Medium" panose="020B0603000000000000" pitchFamily="50" charset="-127"/>
              <a:cs typeface="+mn-cs"/>
            </a:rPr>
            <a:t>인프라</a:t>
          </a:r>
          <a:r>
            <a:rPr lang="en-US" altLang="ko-KR" sz="1000" baseline="0">
              <a:effectLst/>
              <a:latin typeface="KB금융 본문체 Medium" panose="020B0603000000000000" pitchFamily="50" charset="-127"/>
              <a:ea typeface="KB금융 본문체 Medium" panose="020B0603000000000000" pitchFamily="50" charset="-127"/>
              <a:cs typeface="+mn-cs"/>
            </a:rPr>
            <a:t>: AP</a:t>
          </a:r>
          <a:r>
            <a:rPr lang="ko-KR" altLang="ko-KR" sz="1000" baseline="0">
              <a:effectLst/>
              <a:latin typeface="KB금융 본문체 Medium" panose="020B0603000000000000" pitchFamily="50" charset="-127"/>
              <a:ea typeface="KB금융 본문체 Medium" panose="020B0603000000000000" pitchFamily="50" charset="-127"/>
              <a:cs typeface="+mn-cs"/>
            </a:rPr>
            <a:t>코드</a:t>
          </a:r>
          <a:r>
            <a:rPr lang="en-US" altLang="ko-KR" sz="1000" baseline="0">
              <a:effectLst/>
              <a:latin typeface="KB금융 본문체 Medium" panose="020B0603000000000000" pitchFamily="50" charset="-127"/>
              <a:ea typeface="KB금융 본문체 Medium" panose="020B0603000000000000" pitchFamily="50" charset="-127"/>
              <a:cs typeface="+mn-cs"/>
            </a:rPr>
            <a:t>-90000 ~ 99999</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ko-KR" sz="1000" baseline="0">
              <a:effectLst/>
              <a:latin typeface="KB금융 본문체 Medium" panose="020B0603000000000000" pitchFamily="50" charset="-127"/>
              <a:ea typeface="KB금융 본문체 Medium" panose="020B0603000000000000" pitchFamily="50" charset="-127"/>
              <a:cs typeface="+mn-cs"/>
            </a:rPr>
            <a:t>3)UXUI,</a:t>
          </a:r>
          <a:r>
            <a:rPr lang="ko-KR" altLang="en-US" sz="1000" baseline="0">
              <a:effectLst/>
              <a:latin typeface="KB금융 본문체 Medium" panose="020B0603000000000000" pitchFamily="50" charset="-127"/>
              <a:ea typeface="KB금융 본문체 Medium" panose="020B0603000000000000" pitchFamily="50" charset="-127"/>
              <a:cs typeface="+mn-cs"/>
            </a:rPr>
            <a:t>응용개발 </a:t>
          </a:r>
          <a:r>
            <a:rPr lang="en-US" altLang="ko-KR" sz="1000" baseline="0">
              <a:effectLst/>
              <a:latin typeface="KB금융 본문체 Medium" panose="020B0603000000000000" pitchFamily="50" charset="-127"/>
              <a:ea typeface="KB금융 본문체 Medium" panose="020B0603000000000000" pitchFamily="50" charset="-127"/>
              <a:cs typeface="+mn-cs"/>
            </a:rPr>
            <a:t>: </a:t>
          </a:r>
          <a:r>
            <a:rPr lang="ko-KR" altLang="en-US" sz="1000" baseline="0">
              <a:effectLst/>
              <a:latin typeface="KB금융 본문체 Medium" panose="020B0603000000000000" pitchFamily="50" charset="-127"/>
              <a:ea typeface="KB금융 본문체 Medium" panose="020B0603000000000000" pitchFamily="50" charset="-127"/>
              <a:cs typeface="+mn-cs"/>
            </a:rPr>
            <a:t>상기 채번규칙파일 참고</a:t>
          </a:r>
          <a:endParaRPr lang="ko-KR" altLang="en-US" sz="1000">
            <a:latin typeface="KB금융 본문체 Medium" panose="020B0603000000000000" pitchFamily="50" charset="-127"/>
            <a:ea typeface="KB금융 본문체 Medium" panose="020B0603000000000000" pitchFamily="50" charset="-127"/>
          </a:endParaRPr>
        </a:p>
      </xdr:txBody>
    </xdr:sp>
    <xdr:clientData/>
  </xdr:twoCellAnchor>
  <xdr:twoCellAnchor>
    <xdr:from>
      <xdr:col>8</xdr:col>
      <xdr:colOff>390525</xdr:colOff>
      <xdr:row>45</xdr:row>
      <xdr:rowOff>104775</xdr:rowOff>
    </xdr:from>
    <xdr:to>
      <xdr:col>11</xdr:col>
      <xdr:colOff>2457450</xdr:colOff>
      <xdr:row>50</xdr:row>
      <xdr:rowOff>171450</xdr:rowOff>
    </xdr:to>
    <xdr:sp macro="" textlink="">
      <xdr:nvSpPr>
        <xdr:cNvPr id="16" name="사각형 설명선 15"/>
        <xdr:cNvSpPr/>
      </xdr:nvSpPr>
      <xdr:spPr bwMode="auto">
        <a:xfrm>
          <a:off x="6486525" y="8677275"/>
          <a:ext cx="4352925" cy="1019175"/>
        </a:xfrm>
        <a:prstGeom prst="wedgeRectCallout">
          <a:avLst>
            <a:gd name="adj1" fmla="val -90287"/>
            <a:gd name="adj2" fmla="val 45674"/>
          </a:avLst>
        </a:prstGeom>
        <a:solidFill>
          <a:srgbClr val="92D05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lang="en-US" altLang="ko-KR" sz="1200" b="1" u="sng">
              <a:latin typeface="KB금융 본문체 Medium" panose="020B0603000000000000" pitchFamily="50" charset="-127"/>
              <a:ea typeface="KB금융 본문체 Medium" panose="020B0603000000000000" pitchFamily="50" charset="-127"/>
            </a:rPr>
            <a:t>[ </a:t>
          </a:r>
          <a:r>
            <a:rPr lang="ko-KR" altLang="en-US" sz="1200" b="1" u="sng">
              <a:latin typeface="KB금융 본문체 Medium" panose="020B0603000000000000" pitchFamily="50" charset="-127"/>
              <a:ea typeface="KB금융 본문체 Medium" panose="020B0603000000000000" pitchFamily="50" charset="-127"/>
            </a:rPr>
            <a:t>요구사항 검토상태 </a:t>
          </a:r>
          <a:r>
            <a:rPr lang="en-US" altLang="ko-KR" sz="1200" b="1" u="sng">
              <a:latin typeface="KB금융 본문체 Medium" panose="020B0603000000000000" pitchFamily="50" charset="-127"/>
              <a:ea typeface="KB금융 본문체 Medium" panose="020B0603000000000000" pitchFamily="50" charset="-127"/>
            </a:rPr>
            <a:t>"</a:t>
          </a:r>
          <a:r>
            <a:rPr lang="ko-KR" altLang="en-US" sz="1200" b="1" u="sng">
              <a:latin typeface="KB금융 본문체 Medium" panose="020B0603000000000000" pitchFamily="50" charset="-127"/>
              <a:ea typeface="KB금융 본문체 Medium" panose="020B0603000000000000" pitchFamily="50" charset="-127"/>
            </a:rPr>
            <a:t>거부</a:t>
          </a:r>
          <a:r>
            <a:rPr lang="en-US" altLang="ko-KR" sz="1200" b="1" u="sng">
              <a:latin typeface="KB금융 본문체 Medium" panose="020B0603000000000000" pitchFamily="50" charset="-127"/>
              <a:ea typeface="KB금융 본문체 Medium" panose="020B0603000000000000" pitchFamily="50" charset="-127"/>
            </a:rPr>
            <a:t>-</a:t>
          </a:r>
          <a:r>
            <a:rPr lang="ko-KR" altLang="en-US" sz="1200" b="1" u="sng">
              <a:latin typeface="KB금융 본문체 Medium" panose="020B0603000000000000" pitchFamily="50" charset="-127"/>
              <a:ea typeface="KB금융 본문체 Medium" panose="020B0603000000000000" pitchFamily="50" charset="-127"/>
            </a:rPr>
            <a:t>이관</a:t>
          </a:r>
          <a:r>
            <a:rPr lang="en-US" altLang="ko-KR" sz="1200" b="1" u="sng">
              <a:latin typeface="KB금융 본문체 Medium" panose="020B0603000000000000" pitchFamily="50" charset="-127"/>
              <a:ea typeface="KB금융 본문체 Medium" panose="020B0603000000000000" pitchFamily="50" charset="-127"/>
            </a:rPr>
            <a:t>"]</a:t>
          </a:r>
        </a:p>
        <a:p>
          <a:pPr algn="l"/>
          <a:r>
            <a:rPr lang="ko-KR" altLang="en-US" sz="1000">
              <a:latin typeface="KB금융 본문체 Medium" panose="020B0603000000000000" pitchFamily="50" charset="-127"/>
              <a:ea typeface="KB금융 본문체 Medium" panose="020B0603000000000000" pitchFamily="50" charset="-127"/>
            </a:rPr>
            <a:t>요구사항 검토상태 </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거부</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이관</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인 경우는 어느업무에서 수관하는지 </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검토의견</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칼럼에 명확하게 기술함</a:t>
          </a:r>
          <a:endParaRPr lang="en-US" altLang="ko-KR" sz="1000">
            <a:latin typeface="KB금융 본문체 Medium" panose="020B0603000000000000" pitchFamily="50" charset="-127"/>
            <a:ea typeface="KB금융 본문체 Medium" panose="020B0603000000000000" pitchFamily="50" charset="-127"/>
          </a:endParaRPr>
        </a:p>
        <a:p>
          <a:pPr algn="l"/>
          <a:r>
            <a:rPr lang="ko-KR" altLang="en-US" sz="1000">
              <a:latin typeface="KB금융 본문체 Medium" panose="020B0603000000000000" pitchFamily="50" charset="-127"/>
              <a:ea typeface="KB금융 본문체 Medium" panose="020B0603000000000000" pitchFamily="50" charset="-127"/>
            </a:rPr>
            <a:t>예시</a:t>
          </a:r>
          <a:r>
            <a:rPr lang="en-US" altLang="ko-KR" sz="1000">
              <a:latin typeface="KB금융 본문체 Medium" panose="020B0603000000000000" pitchFamily="50" charset="-127"/>
              <a:ea typeface="KB금융 본문체 Medium" panose="020B0603000000000000" pitchFamily="50" charset="-127"/>
            </a:rPr>
            <a:t>) </a:t>
          </a:r>
          <a:r>
            <a:rPr lang="ko-KR" altLang="en-US" sz="1000">
              <a:latin typeface="KB금융 본문체 Medium" panose="020B0603000000000000" pitchFamily="50" charset="-127"/>
              <a:ea typeface="KB금융 본문체 Medium" panose="020B0603000000000000" pitchFamily="50" charset="-127"/>
            </a:rPr>
            <a:t>수관업무</a:t>
          </a:r>
          <a:r>
            <a:rPr lang="en-US" altLang="ko-KR" sz="1000">
              <a:latin typeface="KB금융 본문체 Medium" panose="020B0603000000000000" pitchFamily="50" charset="-127"/>
              <a:ea typeface="KB금융 본문체 Medium" panose="020B0603000000000000" pitchFamily="50" charset="-127"/>
            </a:rPr>
            <a:t>: </a:t>
          </a:r>
          <a:r>
            <a:rPr lang="ko-KR" altLang="en-US" sz="1000">
              <a:latin typeface="KB금융 본문체 Medium" panose="020B0603000000000000" pitchFamily="50" charset="-127"/>
              <a:ea typeface="KB금융 본문체 Medium" panose="020B0603000000000000" pitchFamily="50" charset="-127"/>
            </a:rPr>
            <a:t>응용개발</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상품</a:t>
          </a:r>
          <a:r>
            <a:rPr lang="en-US" altLang="ko-KR" sz="1000">
              <a:latin typeface="KB금융 본문체 Medium" panose="020B0603000000000000" pitchFamily="50" charset="-127"/>
              <a:ea typeface="KB금융 본문체 Medium" panose="020B0603000000000000" pitchFamily="50" charset="-127"/>
            </a:rPr>
            <a:t>/</a:t>
          </a:r>
          <a:r>
            <a:rPr lang="ko-KR" altLang="en-US" sz="1000">
              <a:latin typeface="KB금융 본문체 Medium" panose="020B0603000000000000" pitchFamily="50" charset="-127"/>
              <a:ea typeface="KB금융 본문체 Medium" panose="020B0603000000000000" pitchFamily="50" charset="-127"/>
            </a:rPr>
            <a:t>외환</a:t>
          </a:r>
          <a:r>
            <a:rPr lang="en-US" altLang="ko-KR" sz="1000">
              <a:latin typeface="KB금융 본문체 Medium" panose="020B0603000000000000" pitchFamily="50" charset="-127"/>
              <a:ea typeface="KB금융 본문체 Medium" panose="020B0603000000000000" pitchFamily="50" charset="-127"/>
            </a:rPr>
            <a:t>, </a:t>
          </a:r>
          <a:r>
            <a:rPr lang="ko-KR" altLang="en-US" sz="1000">
              <a:latin typeface="KB금융 본문체 Medium" panose="020B0603000000000000" pitchFamily="50" charset="-127"/>
              <a:ea typeface="KB금융 본문체 Medium" panose="020B0603000000000000" pitchFamily="50" charset="-127"/>
            </a:rPr>
            <a:t>요구사항</a:t>
          </a:r>
          <a:r>
            <a:rPr lang="en-US" altLang="ko-KR" sz="1000">
              <a:latin typeface="KB금융 본문체 Medium" panose="020B0603000000000000" pitchFamily="50" charset="-127"/>
              <a:ea typeface="KB금융 본문체 Medium" panose="020B0603000000000000" pitchFamily="50" charset="-127"/>
            </a:rPr>
            <a:t>ID:AP</a:t>
          </a:r>
          <a:r>
            <a:rPr lang="ko-KR" altLang="en-US" sz="1000">
              <a:latin typeface="KB금융 본문체 Medium" panose="020B0603000000000000" pitchFamily="50" charset="-127"/>
              <a:ea typeface="KB금융 본문체 Medium" panose="020B0603000000000000" pitchFamily="50" charset="-127"/>
            </a:rPr>
            <a:t>코드</a:t>
          </a:r>
          <a:r>
            <a:rPr lang="en-US" altLang="ko-KR" sz="1000">
              <a:latin typeface="KB금융 본문체 Medium" panose="020B0603000000000000" pitchFamily="50" charset="-127"/>
              <a:ea typeface="KB금융 본문체 Medium" panose="020B0603000000000000" pitchFamily="50" charset="-127"/>
            </a:rPr>
            <a:t>-50001</a:t>
          </a:r>
          <a:endParaRPr lang="ko-KR" altLang="en-US" sz="1000">
            <a:latin typeface="KB금융 본문체 Medium" panose="020B0603000000000000" pitchFamily="50" charset="-127"/>
            <a:ea typeface="KB금융 본문체 Medium" panose="020B0603000000000000" pitchFamily="50" charset="-127"/>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oAdmin" refreshedDate="45681.695519907407" createdVersion="6" refreshedVersion="6" minRefreshableVersion="3" recordCount="141">
  <cacheSource type="worksheet">
    <worksheetSource ref="A1:T142" sheet="요구사항명세서"/>
  </cacheSource>
  <cacheFields count="20">
    <cacheField name="업무" numFmtId="0">
      <sharedItems count="11">
        <s v="영업감사"/>
        <s v="본부감사"/>
        <s v="일상감사"/>
        <s v="상시감사"/>
        <s v="심의/조사"/>
        <s v="공통"/>
        <s v="감사지원"/>
        <s v="감사지원_x000a_심의/조사" u="1"/>
        <s v="감사마트" u="1"/>
        <s v="감사지원_x000a_영업감사" u="1"/>
        <s v="공통/감사지원" u="1"/>
      </sharedItems>
    </cacheField>
    <cacheField name="구분" numFmtId="0">
      <sharedItems containsBlank="1"/>
    </cacheField>
    <cacheField name="Biz요건ID" numFmtId="0">
      <sharedItems/>
    </cacheField>
    <cacheField name="Biz요건명" numFmtId="0">
      <sharedItems/>
    </cacheField>
    <cacheField name="요구사항구분" numFmtId="0">
      <sharedItems count="2">
        <s v="비기능"/>
        <s v="기능"/>
      </sharedItems>
    </cacheField>
    <cacheField name="생성단계" numFmtId="0">
      <sharedItems/>
    </cacheField>
    <cacheField name="상태구분" numFmtId="0">
      <sharedItems count="2">
        <s v="신규"/>
        <s v="삭제"/>
      </sharedItems>
    </cacheField>
    <cacheField name="출처" numFmtId="0">
      <sharedItems/>
    </cacheField>
    <cacheField name="요구사항ID" numFmtId="0">
      <sharedItems/>
    </cacheField>
    <cacheField name="요구사항명" numFmtId="0">
      <sharedItems/>
    </cacheField>
    <cacheField name="기능/비기능요구사항" numFmtId="0">
      <sharedItems longText="1"/>
    </cacheField>
    <cacheField name="사용자권한요구사항" numFmtId="0">
      <sharedItems containsNonDate="0" containsString="0" containsBlank="1"/>
    </cacheField>
    <cacheField name="의뢰부서" numFmtId="0">
      <sharedItems/>
    </cacheField>
    <cacheField name="요구사항처리담당팀" numFmtId="0">
      <sharedItems containsNonDate="0" containsString="0" containsBlank="1"/>
    </cacheField>
    <cacheField name="검토상태" numFmtId="0">
      <sharedItems count="6">
        <s v="Accepted"/>
        <s v="Conditional Accepted"/>
        <s v="Not Accepted"/>
        <s v="거부" u="1"/>
        <s v="조건부승인" u="1"/>
        <s v="승인" u="1"/>
      </sharedItems>
    </cacheField>
    <cacheField name="검토의견" numFmtId="0">
      <sharedItems containsBlank="1"/>
    </cacheField>
    <cacheField name="변경요구사항ID" numFmtId="0">
      <sharedItems containsNonDate="0" containsString="0" containsBlank="1"/>
    </cacheField>
    <cacheField name="변경일" numFmtId="0">
      <sharedItems containsBlank="1"/>
    </cacheField>
    <cacheField name="근기문서" numFmtId="0">
      <sharedItems containsBlank="1"/>
    </cacheField>
    <cacheField name="구분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1">
  <r>
    <x v="0"/>
    <s v="RAS, C-RAS 위험지수 고도화"/>
    <s v="Biz-0001"/>
    <s v=" RAS위험지수 정교화·고도화"/>
    <x v="0"/>
    <s v="요구사항정의"/>
    <x v="0"/>
    <s v="구축요건정의서"/>
    <s v="MDD-00001"/>
    <s v="AI 위험모델을 연계한 RAS위험지수의 정교화"/>
    <s v="⚪ AI위험평가결과 연계하여 해당 위험 지수를 참조 하는 형태로 구현"/>
    <m/>
    <s v="감사부(영업감사)"/>
    <m/>
    <x v="0"/>
    <m/>
    <m/>
    <m/>
    <m/>
    <m/>
  </r>
  <r>
    <x v="0"/>
    <s v="RAS, C-RAS 위험지수 고도화"/>
    <s v="Biz-0001"/>
    <s v=" RAS위험지수 정교화·고도화"/>
    <x v="1"/>
    <s v="요구사항정의"/>
    <x v="0"/>
    <s v="구축요건정의서"/>
    <s v="MDD-00002"/>
    <s v="RAS신규항목(46개) 신설 및 기존항목 개선(상시감사 중복내용 통합 등)"/>
    <s v="⚪ RAS 모형 구성에 신규항목 4개 신설, 기존 감사자료 5개 를 추가하고 4개항목은 위험모형에서 제외 하여 위험모형 구축"/>
    <m/>
    <s v="감사부(영업감사)"/>
    <m/>
    <x v="0"/>
    <m/>
    <m/>
    <m/>
    <m/>
    <m/>
  </r>
  <r>
    <x v="0"/>
    <s v="RAS, C-RAS 위험지수 고도화"/>
    <s v="Biz-0001"/>
    <s v=" RAS위험지수 정교화·고도화"/>
    <x v="1"/>
    <s v="요구사항정의"/>
    <x v="0"/>
    <s v="구축요건정의서"/>
    <s v="MDD-00003"/>
    <s v="직원별 RAS 위험지수 모형 신설"/>
    <s v="⚪ C-RAS1 위험모형, C-RAS2 위험모형를 이용한 직원별C-RAS3 위험모형 생성(현재 기능 유지)"/>
    <m/>
    <s v="감사부(영업감사)"/>
    <m/>
    <x v="0"/>
    <m/>
    <m/>
    <m/>
    <m/>
    <m/>
  </r>
  <r>
    <x v="0"/>
    <s v="RAS, C-RAS 위험지수 고도화"/>
    <s v="Biz-0002"/>
    <s v="RAS전산평가 운영 확대 및 항목 신설"/>
    <x v="0"/>
    <s v="요구사항정의"/>
    <x v="0"/>
    <s v="구축요건정의서"/>
    <s v="MDD-00004"/>
    <s v="RAS전산평가 운영 확대 및 항목 신설"/>
    <s v="⚪ RAS 위험모형을 참조하여 고위험 지점을 추출하여 감사계획 수립에 적극 반영"/>
    <m/>
    <s v="감사부(영업감사)"/>
    <m/>
    <x v="0"/>
    <m/>
    <m/>
    <m/>
    <m/>
    <m/>
  </r>
  <r>
    <x v="0"/>
    <s v="RAS, C-RAS 위험지수 고도화"/>
    <s v="Biz-0003"/>
    <s v="C-RAS 정교화·분석기능 강화"/>
    <x v="0"/>
    <s v="요구사항정의"/>
    <x v="0"/>
    <s v="구축요건정의서"/>
    <s v="MDD-00005"/>
    <s v="AI 위험모델을 연계한 모형 재구성"/>
    <s v="⚪ C-RAS 위험모형과 AI위험평가결과 모형을 연계하여 해당 신규 위험모형을 생성하지 않고 AI위험평결과를 참조 하는 형태로 구현"/>
    <m/>
    <s v="감사부(영업감사)"/>
    <m/>
    <x v="0"/>
    <m/>
    <m/>
    <m/>
    <m/>
    <m/>
  </r>
  <r>
    <x v="0"/>
    <s v="RAS, C-RAS 위험지수 고도화"/>
    <s v="Biz-0004"/>
    <s v="감사자료의 최신화·효율적 관리"/>
    <x v="1"/>
    <s v="요구사항정의"/>
    <x v="0"/>
    <s v="구축요건정의서"/>
    <s v="MDD-00006"/>
    <s v="이상거래(고위험 업무) 항목 신설 및 형태별 분석 기능"/>
    <s v="⚪ 감사자료 신규 37개 신설하여 감사자료의 확대로 이상거래(고위험 업무) 분석 기능 제공"/>
    <m/>
    <s v="감사부(영업감사)"/>
    <m/>
    <x v="1"/>
    <s v="해당 감사자료 데이터 적재 가능 시 제공(우선순위는 최하위)_x000a_기술협상시 제외업무로 저으이 했으나 "/>
    <m/>
    <m/>
    <m/>
    <m/>
  </r>
  <r>
    <x v="0"/>
    <s v="RAS, C-RAS 위험지수 고도화"/>
    <s v="Biz-0004"/>
    <s v="감사자료의 최신화·효율적 관리"/>
    <x v="1"/>
    <s v="요구사항정의"/>
    <x v="0"/>
    <s v="구축요건정의서"/>
    <s v="MDD-00007"/>
    <s v="부점별 감사자료 통합 검색기능 제공"/>
    <s v="⚪ 감사자료 신규 37개도 부점별 검색 대상에 포함 되도록  기능 제공 "/>
    <m/>
    <s v="감사부(영업감사)"/>
    <m/>
    <x v="1"/>
    <s v="해당 감사자료 데이터 적재 가능 시 제공(우선순위는 최하위)"/>
    <m/>
    <m/>
    <m/>
    <m/>
  </r>
  <r>
    <x v="0"/>
    <s v="RAS, C-RAS 위험지수 고도화"/>
    <s v="Biz-0004"/>
    <s v="감사자료의 최신화·효율적 관리"/>
    <x v="0"/>
    <s v="요구사항정의"/>
    <x v="1"/>
    <s v="구축요건정의서"/>
    <s v="MDD-00008"/>
    <s v="감사마트DB 활용한 위험·중점 항목의 자동신설 기능"/>
    <s v="⚪ 감사마트DB 활용한 위험·중점 항목의 자동신설 기능"/>
    <m/>
    <s v="감사부(영업감사)"/>
    <m/>
    <x v="2"/>
    <s v="삭제로 변경함_x000a_참석 :김보영감사역, 김병원이사 _x000a_요구사항명세서 리뷰 시 삭제하기로 협의_x000a_사유 : 실제 영업감사는 감사마트를 활용하지 않으며 위험·중점 항목은 영업점위험평가 시뮬레이션 기능으로 대체하기로 함"/>
    <m/>
    <m/>
    <m/>
    <s v="대면"/>
  </r>
  <r>
    <x v="0"/>
    <s v="감사계획 수립 자동화"/>
    <s v="Biz-0005"/>
    <s v="위험수준 평가 및 대상 영업점 선정 자동화"/>
    <x v="1"/>
    <s v="요구사항정의"/>
    <x v="0"/>
    <s v="구축요건정의서"/>
    <s v="MDD-00009"/>
    <s v="영업점별 위험수준 평가결과 조회 및 지표 산출 결과를 토대로 예정감사 등록하거나 신규 감사대상점 등록"/>
    <s v="⚪ 위험평가항목 주기적으로 위험수준(RAS) 평가 후 결과를 업데이트 하여 표시 (p47)_x000a_⚪ 최초 1회 연간 평가결과를 기준으로 감사계획 자동 등록. 이후 업무 담당자 수정 시 변경가능_x000a_⚪ 감사계획 등록 내역 중 수정이 필요한 대상은 선택 후 직접 수정 가능 (Ex.최근 위험평가 결과 고위험으로 분류된 대상 수정)_x000a_⚪ 변경사항 존재 시 등록버튼 클릭하여 내용 반영 (등록 확정 시 ‘감사계획 등록’ 화면과 연계되어 후속 프로세스 수행)_x000a_⚪ AI부점위험평가 모델 결과를 반영하여 위험부점여부, 평가점수, 순위, 위험구분 항목 표시_x000a_   (AI부점위험평가결과 세부내역 협의 후 제공 여부)_x000a_⚪ 위험부점여부 클릭시 AI부점위험평가결과의 부점위험 세부항목 조회 팝업 기능 제공_x000a_   (AI부점위험평가결과 세부내역 협의 후 제공 여부)"/>
    <m/>
    <s v="감사부(영업감사)"/>
    <m/>
    <x v="0"/>
    <s v="통합싱시감시시스템에서 AI 위험평가 데이터 연계 가능 시 AI부점 위험평가 결과 개발 예정"/>
    <m/>
    <m/>
    <m/>
    <s v="대면"/>
  </r>
  <r>
    <x v="0"/>
    <s v="감사계획 수립 자동화"/>
    <s v="Biz-0006"/>
    <s v="위험수준 평가 결과에 따라 주기별 감사대상점 추천"/>
    <x v="1"/>
    <s v="요구사항정의"/>
    <x v="0"/>
    <s v="구축요건정의서"/>
    <s v="MDD-00010"/>
    <s v="직원 RAS위험평가 결과 조회 및 세부내역 확인"/>
    <s v="⚪ 부점/영업그룹 단위 직원별 지수현황/순위 등을 조회할 수 있는 기능 제공 (p56)_x000a_⚪ 기준정보 데이터는 배치 수행으로 생성 - 실시간 조회는 되지않음(D-1 데이터)_x000a_⚪ 기준년월 달력컨트롤러로 교체 - 현재일자 출력, 비활성 처리_x000a_⚪ 직원번호 검색 조건 추가 - 직원번호로 검색시 해당 직원의 모든 이력 출력_x000a_⚪ 부점 검색 조건을 영업그룹/부점을 영업그룹/PG 로 변경_x000a_⚪ 목록 출력 항목 추가 및 변경 (지역영업그룹 이후에 PG추가, 그룹내순위 다음에 PG별순위 추가, 부점내순위의 위치 PG별순위)_x000a_⚪ 위험평가 상세 조회 팝업 중 직원위험 유형분류는 AI직원평가결과 정보 추후 협의 후 결정_x000a_⚪ 직원별 지수 조회는 RAS 정의에 따른 위험지수 결과로 표시"/>
    <m/>
    <s v="감사부(영업감사)"/>
    <m/>
    <x v="0"/>
    <m/>
    <m/>
    <m/>
    <m/>
    <s v="대면"/>
  </r>
  <r>
    <x v="0"/>
    <s v="감사계획 수립 자동화"/>
    <s v="Biz-0006"/>
    <s v="위험수준 평가 결과에 따라 주기별 감사대상점 추천"/>
    <x v="1"/>
    <s v="요구사항정의"/>
    <x v="0"/>
    <s v="구축요건정의서"/>
    <s v="MDD-00011"/>
    <s v="영업점 위험항목별 수치 입력 및 관리 기능 제공"/>
    <s v="⚪ 연간 위험항목 확정 기능 제공 (p49)_x000a_   - 값 조정에 의한 시뮬레이션은 확정 전까지만 가능_x000a_   - 확정 이후는 변경하지 못하도록 확정 취소 권한에 대한 정의 필요 (감사부)_x000a_   - 위험산출비율 환산공식제공(감사부 및 시스템운영팀)_x000a_⚪ 위험수준 평가 시 항목별 가중치 수정기능 제공 (비율 변경 시 기 등록 내역 일괄 재산출 하도록 추가 기능 제공)_x000a_⚪ 항목점수 입력 및 관리를 위한 기능 제공  (p49)_x000a_  - 일괄등록 :  엑셀파일로 전체 영업점 리스트 일괄등록 할 수 있는 기능 제공 (기존 엑셀파일 활용)_x000a_  - 등록 : 영업점 개별 항목 입력 시 사용_x000a_  - 수정 : 입력 된 내용 수정 시 사용_x000a_⚪ 위험항목 추가 예정(정의 후 전달 예정 (p49)"/>
    <m/>
    <s v="감사부(영업감사)"/>
    <m/>
    <x v="0"/>
    <m/>
    <m/>
    <m/>
    <m/>
    <s v="대면"/>
  </r>
  <r>
    <x v="0"/>
    <s v="감사계획 수립 자동화"/>
    <s v="Biz-0007"/>
    <s v="감사대상 영업점 확정시 감사계획 및 감사역 배정 자동화"/>
    <x v="1"/>
    <s v="요구사항정의"/>
    <x v="0"/>
    <s v="구축요건정의서"/>
    <s v="MDD-00012"/>
    <s v="감사계획 등록 현황 조회 및 내용 수정 / (신규) 감사예정 영업점 계획 자동등록 기능 신설"/>
    <s v="⚪ 영업점별 위험수준 평가결과‘ 화면에서 등록 확정된 대상은 별도의 입력 없이 자동으로 본 화면에서 조회 가능 (p50)_x000a_⚪ 배정감사역 추천등록 클릭 시 관련내용 Pop-up하여 지정 / 기존화면에서 배정 후 기 등록내역 표시_x000a_⚪ 배정감사역 추천기준에 따른 일괄 자동등록 기능(감사계획 차수 기준)_x000a_⚪ 확정 클릭 시 감사계획 및 감사역 배정이 확정되어 기안문 작성 및 출력 프로세스로 이동"/>
    <m/>
    <s v="감사부(영업감사)"/>
    <m/>
    <x v="0"/>
    <m/>
    <m/>
    <m/>
    <m/>
    <s v="대면"/>
  </r>
  <r>
    <x v="0"/>
    <s v="감사계획 수립 자동화"/>
    <s v="Biz-0007"/>
    <s v="감사대상 영업점 확정시 감사계획 및 감사역 배정 자동화"/>
    <x v="1"/>
    <s v="요구사항정의"/>
    <x v="0"/>
    <s v="구축요건정의서"/>
    <s v="MDD-00013"/>
    <s v="감사역 배정 정보를 확인하고 변경/등록 / (신규) _x000a_감사역 추천 배정 등록기능 신설"/>
    <s v="⚪ 감사역 배정 추천조회 시 추천 배정결과가 해당 칸에 표시되며, 배정등록 시 확정되어 배정현황에 내용 업데이트 (p51)_x000a_⚪ 추천대상 영업점 선택 : 해당 차수에 포함된 영업점 전체 or 지정된 영업점만 반영_x000a_⚪ 추천 우선기준 : 우선기준 선택 시 해당 기준에 맞는 알고리즘으로 감사역 배정 추천_x000a_   - 추천감사역 알고리즘에 항목 추가 요청( 감사부에서 항목정의 후 전달 예정)_x000a_⚪ 배정인원 기준 선택 : 최소, 최대 인원 선택시 해당 인원기준에 맞춰 감사역 배정 진행_x000a_⚪ ‘추천조회’ 버튼 클릭 시 감사역 배정 추천 기능 작동 &gt; 2번 화면에 대상 표시 (p51)_x000a_⚪ ‘배정등록’ 버튼 클릭 시  추천결과에 표시된 내용이 배정확정 &gt; 감사계획 등록 화면서 확정내용 표시"/>
    <m/>
    <s v="감사부(영업감사)"/>
    <m/>
    <x v="0"/>
    <m/>
    <m/>
    <m/>
    <m/>
    <s v="대면"/>
  </r>
  <r>
    <x v="0"/>
    <s v="감사계획 수립 자동화"/>
    <s v="Biz-0007"/>
    <s v="감사대상 영업점 확정시 감사계획 및 감사역 배정 자동화"/>
    <x v="1"/>
    <s v="요구사항정의"/>
    <x v="0"/>
    <s v="구축요건정의서"/>
    <s v="MDD-00014"/>
    <s v="등록된 감사계획 관련 정보 조회"/>
    <s v="⚪ 감사계획 등록 화면에서 확정 된 대상들만 본 화면에서 조회됨 (화면연계) (p52)_x000a_⚪ 입력 정보를 기반으로 기안문 양식이 자동생성 되며, 파일로 다운로드 가능 (감사계획차수 기준으로 생성) _x000a_※ 기안문 양식 별도 제공 필요(감사부)_x000a_⚪ 본부장 결재(수기) 완료 대상은 담당자가 계획 확정 처리하여 다음 프로세스로 진행 "/>
    <m/>
    <s v="감사부(영업감사)"/>
    <m/>
    <x v="0"/>
    <m/>
    <m/>
    <m/>
    <m/>
    <s v="대면"/>
  </r>
  <r>
    <x v="0"/>
    <s v="감사계획 수립 자동화"/>
    <s v="Biz-0007"/>
    <s v="감사대상 영업점 확정시 감사계획 및 감사역 배정 자동화"/>
    <x v="1"/>
    <s v="요구사항정의"/>
    <x v="0"/>
    <s v="구축요건정의서"/>
    <s v="MDD-00015"/>
    <s v="감사계획에 따른 감사건별 감사역 배정현황 조회 및 내용 수정 기능 제공"/>
    <s v="⚪ 감사역 배정등록 시 동일한 감사기간 중 감사역이 이중 배정될 경우 팝업 안내 표시 (p53)_x000a_⚪ 감사역 배정등록 알림 팝업 표출 요건은 같은년도 같은 차수에 배정될경우_x000a_⚪ 기 배정내용을 변경하시려면 확인버튼을 눌러주세요 문구 삭제_x000a_⚪ 확인, 취소 버튼 삭제 및 닫기 버튼 추가"/>
    <m/>
    <s v="감사부(영업감사)"/>
    <m/>
    <x v="0"/>
    <m/>
    <m/>
    <m/>
    <m/>
    <s v="대면"/>
  </r>
  <r>
    <x v="0"/>
    <s v="감사계획 수립 자동화"/>
    <s v="Biz-0007"/>
    <s v="감사대상 영업점 확정시 감사계획 및 감사역 배정 자동화"/>
    <x v="1"/>
    <s v="요구사항정의"/>
    <x v="0"/>
    <s v="회의록"/>
    <s v="MDD-00016"/>
    <s v="감사역 배정 시 활용되는 참고사항 등록·관리"/>
    <s v="⚪  목록 또는 팝업에서 기피등록건수 클릭시 기피대상 목록을 출력하는 기능 지원(p59)_x000a_⚪ 검색조건(Default:소속직원 전체) : 대상직원, 담당업무, 담당지역_x000a_⚪ 조회결과 목록에서 특정 목록 더블클릭 시 상세보기 Pop-up_x000a_   - 기본정보(인사DB 연동) : 감사역, 직책, 감사부 전입일자, 업무경력_x000a_   - 입력정보 : 순서, 담당업무, 담당지역_x000a_   - 연계정보 : 기피등록건수 – 감사업무 기피대상 관리 및 감사배정현황(감사계획에서 담당 감사역 배정되었을 경우 해당 감사종류 표시)_x000a_⚪ 등록버튼 클릭 시 직원별 참고사항 입력 가능(입력 세부항목은 현업 확정 필요)_x000a_⚪ 조회결과 그리드의 &quot;기피등록건수&quot; 항목 클릭시기피대상 목록을 출력하는 기능 지원"/>
    <m/>
    <s v="감사부(영업감사)"/>
    <m/>
    <x v="0"/>
    <m/>
    <m/>
    <m/>
    <s v="20241113_감사정보시스템 고도화 및 클라우드 전환 구축_영업감사_2.docx"/>
    <s v="대면"/>
  </r>
  <r>
    <x v="0"/>
    <s v="영업점 감사자료 포탈"/>
    <s v="Biz-0008"/>
    <s v="영업점 현황과 위험수준 등을 종합적으로 제공"/>
    <x v="1"/>
    <s v="요구사항정의"/>
    <x v="0"/>
    <s v="구축요건정의서"/>
    <s v="MDD-00017"/>
    <s v="임점 대상 부서의 현황 조회"/>
    <s v="⚪ 부점정보 조회시 해당기간 PG장 정보 추가 (p42)"/>
    <m/>
    <s v="감사부(영업감사)"/>
    <m/>
    <x v="0"/>
    <m/>
    <m/>
    <m/>
    <m/>
    <s v="대면"/>
  </r>
  <r>
    <x v="0"/>
    <s v="영업점 감사자료 포탈"/>
    <s v="Biz-0008"/>
    <s v="영업점 현황과 위험수준 등을 종합적으로 제공"/>
    <x v="1"/>
    <s v="요구사항정의"/>
    <x v="0"/>
    <s v="구축요건정의서"/>
    <s v="MDD-00018"/>
    <s v="영업감사 진행 시 감사역들이 감사일보를 작성하고 관리하는 화면"/>
    <s v="⚪ 알림기능 추가 &gt; Daily 체크, 16시기준 감사일보 미작성(N) 감사역에게 workB를 통한 쪽지 알림 발송(p43)_x000a_⚪ 조회 결과 항목에 감사일지작성여부 추가"/>
    <m/>
    <s v="감사부(영업감사)"/>
    <m/>
    <x v="0"/>
    <m/>
    <m/>
    <m/>
    <m/>
    <s v="대면"/>
  </r>
  <r>
    <x v="0"/>
    <s v="영업점 감사자료 포탈"/>
    <s v="Biz-0008"/>
    <s v="영업점 현황과 위험수준 등을 종합적으로 제공"/>
    <x v="1"/>
    <s v="요구사항정의"/>
    <x v="0"/>
    <s v="구축요건정의서"/>
    <s v="MDD-00019"/>
    <s v="감사 완료 후 감사결과 및 지적사항을 간략하게 기재"/>
    <s v="⚪ 감사조서 내용 작성 시 자동 줄 맞추 기능은 현재 구현이 어려워서 다른 방안 강구 후 추가 협의 예정 (p44)_x000a_    - 감사조서 입력 항목에 세로로 위치 맞춤선 제공 제안_x000a_⚪ 감사조서 작성 예시 전달 예정(표준화 방안 강구)"/>
    <m/>
    <s v="감사부(영업감사)"/>
    <m/>
    <x v="0"/>
    <m/>
    <m/>
    <m/>
    <m/>
    <s v="대면"/>
  </r>
  <r>
    <x v="0"/>
    <s v="영업점 감사자료 포탈"/>
    <s v="Biz-0008"/>
    <s v="영업점 현황과 위험수준 등을 종합적으로 제공"/>
    <x v="1"/>
    <s v="요구사항정의"/>
    <x v="0"/>
    <s v="구축요건정의서"/>
    <s v="MDD-00020"/>
    <s v="감사 완료 후 해당 영업점의 종합감사 결과 및 점검현황, 강평 등의 내용을 보고서 형태로 제공"/>
    <s v="⚪ 부점별 위험 유형분석 결과요약 항목 AI위험분석결과  협의 후 전체 Layout 추가 협의(p45)_x000a_⚪ 감사 지적 현황 및 KPI감점 현황, RAS 전산평가 현황 등 기 적재 데이터를 활용하여 보고서 형식으로 화면 출력 _x000a_⚪ 조회 결과 항목 보고서 출력 기능 제공(보고서 양식 감사부에서 전달)_x000a_⚪ Layout 전달 예정"/>
    <m/>
    <s v="감사부(영업감사)"/>
    <m/>
    <x v="0"/>
    <m/>
    <m/>
    <m/>
    <m/>
    <s v="대면"/>
  </r>
  <r>
    <x v="0"/>
    <s v="영업점 감사자료 포탈"/>
    <s v="Biz-0008"/>
    <s v="영업점 현황과 위험수준 등을 종합적으로 제공"/>
    <x v="0"/>
    <s v="요구사항정의"/>
    <x v="0"/>
    <s v="구축요건정의서"/>
    <s v="MDD-00021"/>
    <s v="감사를 위한 항목별 부점 자료 조회 (내부통제 업무 관련)"/>
    <s v="⚪ 감사자료 출력 시 원천데이터 값 정합성 확보_x000a_⚪ 영업감사 감사자료는 ASIS기능 유지(p46)"/>
    <m/>
    <s v="감사부(영업감사)"/>
    <m/>
    <x v="0"/>
    <m/>
    <m/>
    <m/>
    <m/>
    <s v="대면"/>
  </r>
  <r>
    <x v="0"/>
    <s v="영업점 감사자료 포탈"/>
    <s v="Biz-0008"/>
    <s v="영업점 현황과 위험수준 등을 종합적으로 제공"/>
    <x v="1"/>
    <s v="요구사항정의"/>
    <x v="0"/>
    <s v="회의록"/>
    <s v="MDD-00022"/>
    <s v="테마감사 대쉬보드"/>
    <s v="⚪ 점검항목 1. 생활안정자금, 2.전세자금대출, 3. 신용대출 주택추가매수  항목 삭제 그외 항목 유지(p54)"/>
    <m/>
    <s v="감사부(영업감사)"/>
    <m/>
    <x v="0"/>
    <m/>
    <m/>
    <m/>
    <s v="20241113_감사정보시스템 고도화 및 클라우드 전환 구축_영업감사_2.docx"/>
    <s v="대면"/>
  </r>
  <r>
    <x v="0"/>
    <s v="영업점 감사자료 포탈"/>
    <s v="Biz-0008"/>
    <s v="영업점 현황과 위험수준 등을 종합적으로 제공"/>
    <x v="1"/>
    <s v="요구사항정의"/>
    <x v="0"/>
    <s v="구축요건정의서"/>
    <s v="MDD-00023"/>
    <s v="사전감사를 위한 부점현황과 점검항목, 특이정보, 참고사항 등 관련 정보를 종합제공"/>
    <s v="⚪ 영업점 사전감사 시 필요한 주요정보들을 통합하여 한 화면에서 조회 가능하도록 변경(p58)_x000a_⚪ AI부점 위험평가 결과(Y/N)으로 받아온 결과를 화면에 표시(AI직원평가결과 정보 추후 협의 후 결정)_x000a_⚪ 조회결과 그리드 &quot;감사종류&quot; 항목의  테마감사의 팝업지원 필요 여부 확인(감사부)_x000a_⚪ 조회결과 그리드 &quot;내부통제&quot; 항목의 테마감사 이외의 항목 클릭시 감사결과보고서 팝업 출력 여부확인_x000a_⚪ 테마감사일 경우 해당년도 해당 부점의 관련부점과 동일한 지점 리스트 출력"/>
    <m/>
    <s v="감사부(영업감사)"/>
    <m/>
    <x v="0"/>
    <s v="통합싱시감시시스템에서 AI 위험평가 데이터 연계 가능 시 AI부점 위험평가 결과 개발 예정"/>
    <m/>
    <m/>
    <m/>
    <s v="대면"/>
  </r>
  <r>
    <x v="0"/>
    <s v="영업점 감사자료 포탈"/>
    <s v="Biz-0008"/>
    <s v="영업점 현황과 위험수준 등을 종합적으로 제공"/>
    <x v="1"/>
    <s v="요구사항정의"/>
    <x v="0"/>
    <s v="회의록"/>
    <s v="MDD-00024"/>
    <s v="영업감사 현황을 확인할 수 있는 대시보드"/>
    <s v="⚪  영업감사 현황을 한번에 조회할 수 있는 대시보드 제공 (각 대시보드 종류별 상세내용은 후속페이지 참조)(p61, p62)_x000a_⚪  위험평가별 현황 도표는 RAS기준(YYYY-1 기준)_x000a_⚪ 지역별 실시현황 도표는 화면에 맞추어 조정하며 클릭시 큰화면의 팝업 제공(영업감사&gt; 메인의 감사진행 대시보드 기준으로 구현_x000a_⚪ 업무별 현황 도표는 지적사항 기준으로 수신/여신 외의 기타 항목으로 출력_x000a_⚪ 감사실시현황 p62 참조_x000a_⚪ 지역별 실시현황은 기존 감사정보시스템에서 사용중인 지역지도 템플릿을 활용 기능 제공( p63 참조)_x000a_⚪ 감사지적현황 조회년도 기준으로 등록된 지적건수를 표시(p64 참조)_x000a_⚪ 지적 소분류*에 등록된 코드를 기준으로 업무별 지적내역을 표시(p65 참조)_x000a_   - 지적사항 다건 존재 시 스크롤로 표시하거나, 지적건수 기준 업무별 상위 Top5만 선별하여 표시하는 방식으로 구현"/>
    <m/>
    <s v="감사부(영업감사)"/>
    <m/>
    <x v="0"/>
    <m/>
    <m/>
    <m/>
    <s v="20241113_감사정보시스템 고도화 및 클라우드 전환 구축_영업감사_2.docx"/>
    <s v="대면"/>
  </r>
  <r>
    <x v="0"/>
    <s v="기업여신 현황 관련 기능 개선"/>
    <s v="Biz-0009"/>
    <s v="기업여신 현황 관련 기능 개선"/>
    <x v="1"/>
    <s v="요구사항정의"/>
    <x v="0"/>
    <s v="구축요건정의서"/>
    <s v="MDD-00025"/>
    <s v="기존 감사자료(여신) 항목별 조회 자료를 ‘차주’ 단위에서 일괄로 조회할 수 있도록 기능제공"/>
    <s v="⚪ 기업여신명세 화면 조회시 차주별로 선정된 모든 항목을 전반적으로 조회가능(P57)_x000a_⚪ 화면 조회 구분값은 현업담당자와 협의 후 확정 필요_x000a_⚪ 리스트에 표시된 항목 클릭시 개별 세부내역 조회할 수 있도록 링크 (기존 ‘감사자료(여신)’ 각 항목 번호와 연계)_x000a_⚪ 항목 중 하나라도 조건에 해당하는 경우 목록에 표기됨_x000a_⚪ 일 기준 판단기준이 있더라도 월중 한번의 조건에 만족하면 표기됨_x000a_⚪ 기준정보 데이터는 배치 수행으로 생성 - 실시간 조회는 되지않음(D-1 데이터)_x000a_⚪ 차주는 관리점기준"/>
    <m/>
    <s v="감사부(영업감사)"/>
    <m/>
    <x v="0"/>
    <m/>
    <m/>
    <m/>
    <m/>
    <s v="대면"/>
  </r>
  <r>
    <x v="0"/>
    <s v="영업감사 기타"/>
    <s v="Biz-0010"/>
    <s v="기타"/>
    <x v="1"/>
    <s v="요구사항정의"/>
    <x v="0"/>
    <s v="회의록"/>
    <s v="MDD-00026"/>
    <s v="AI위험평가결과 직원위험조회"/>
    <s v="⚪ 통합상시감사시스템에서 월별로 산출되는 AI직원위험평가 결과를 연계하여 조회하는 화면 (본 내용은 모듈2 AI위험평가결과 요건과 화면기능을 동일하게 승계함)(P175)_x000a_⚪ 조회하는 직원의 기본정보 표시_x000a_⚪ 연계되는 정보를 화면에 표시 (조회형식/UI는 원천시스템과 동일하게 구현)_x000a_⚪ 감사지원 항목을 영업감사 항목으로 메뉴및 기능 재조정 정의(감사부)_x000a_⚪ AI 위험평가결과 연계 협의 하여 구현 여부 확인_x000a_⚪ 영업감사로 위치 이동"/>
    <m/>
    <s v="감사부(영업감사)"/>
    <m/>
    <x v="1"/>
    <s v="통합싱시감시시스템에서 AI 위험평가 데이터 연계 가능 시 승인 예정"/>
    <m/>
    <m/>
    <s v="20241113_감사정보시스템 고도화 및 클라우드 전환 구축_영업감사_2.docx"/>
    <s v="대면"/>
  </r>
  <r>
    <x v="0"/>
    <s v="영업감사 기타"/>
    <s v="Biz-0010"/>
    <s v="기타"/>
    <x v="1"/>
    <s v="요구사항정의"/>
    <x v="0"/>
    <s v="회의록"/>
    <s v="MDD-00027"/>
    <s v="AI위험평가결과 부점위험조회"/>
    <s v="⚪ 통합상시감사시스템에서 월별로 산출되는 AI부점위험평가 결과를 연계하여 조회하는 화면 (본 내용은 모듈2 AI위험평가결과 요건과 화면기능을 동일하게 승계함)(P176)_x000a_⚪ 연계되는 정보를 화면에 표시 (조회형식/UI는 원천시스템과 동일하게 구현)_x000a_⚪ 감사지원 항목을 영업감사 항목으로 메뉴및 기능 재조정 정의(감사부))_x000a_⚪ AI 위험평가결과 연계 협의 하여 구현 여부 확인_x000a_⚪ 영업감사로 위치 이동"/>
    <m/>
    <s v="감사부(영업감사)"/>
    <m/>
    <x v="1"/>
    <s v="통합싱시감시시스템에서 AI 위험평가 데이터 연계 가능 시 승인 예정"/>
    <m/>
    <m/>
    <s v="20241113_감사정보시스템 고도화 및 클라우드 전환 구축_영업감사_2.docx"/>
    <s v="대면"/>
  </r>
  <r>
    <x v="0"/>
    <s v="영업감사 기타"/>
    <s v="Biz-0010"/>
    <s v="기타"/>
    <x v="1"/>
    <s v="요구사항정의"/>
    <x v="0"/>
    <s v="회의록"/>
    <s v="MDD-00028"/>
    <s v="AI위험평가결과 부점위험조회(월별)"/>
    <s v="⚪ AI부점위험평가결과 연계하여 월말 기준 전체 부점 평가결과를 적재함 (월별 적재) (P177)_x000a_   - 적재대상 : 매월 말 AI부점위험평가 결과로 산출된 데이터 _x000a_⚪ 각 월별 AI부점위험평가를 표시하며, 고위험으로 평가된 항목은 붉은색으로 별도 표시_x000a_⚪ 영업감사로 위치 이동"/>
    <m/>
    <s v="감사부(영업감사)"/>
    <m/>
    <x v="1"/>
    <s v="통합싱시감시시스템에서 AI 위험평가 데이터 연계 가능 시 승인 예정"/>
    <m/>
    <m/>
    <s v="20241113_감사정보시스템 고도화 및 클라우드 전환 구축_영업감사_2.docx"/>
    <s v="대면"/>
  </r>
  <r>
    <x v="0"/>
    <s v="영업감사 기타"/>
    <s v="Biz-0010"/>
    <s v="기타"/>
    <x v="1"/>
    <s v="요구사항정의"/>
    <x v="0"/>
    <s v="회의록"/>
    <s v="MDD-00029"/>
    <s v="AI위험평가 결과 및 현황을 볼 수 있는 대시보드 기능 제공"/>
    <s v="⚪ AI위험평가결과 연계하여 월말 기준 현황을 대시보드 형태로 제공(p178~p179)_x000a_⚪ 지역그룹별 위험직원 현황 – 지역그룹별 고위험직원으로 평가된 인력 수를 전월/당월로 분류하여 표시_x000a_⚪ 위험직원 세부현황 – 평가월 기준 AI모델 분류값에 따른 세부내역을 그래프 형태로 표기 _x000a_   (세부항목은 모듈2 모델에 따라 변동 가능)_x000a_⚪ 지역그룹별 위험부점 현황 – AI부점위험평가 결과를 기준으로 각 지역그룹별 위험대상 ‘Y’인 부점개수를 집계 후 표시_x000a_    (위험부점 숫자가 많은 그룹으로 순위 표시)_x000a_⚪ 조회년도의 전행 위험부점 개수를 월별로 집계하여 표시 (월별 변화율 별도 표시)_x000a_⚪ 본 화면은 미확정 요구사항으로 실제 구축단계에서 요건 확정하여 반영 필요_x000a_⚪ 대시보드에서 지역그룹 단위 클릭시 별도 당월 위험부점으로 평가된 개별 부점을 조회할 수 있는 팝업창이 출력되며, _x000a_   상세결과는 부점위험조회 화면으로 링크하여 상세내역을 직접 조회할 수 있도록 기능 제공_x000a_⚪ 영업감사로 위치 이동"/>
    <m/>
    <s v="감사부(영업감사)"/>
    <m/>
    <x v="1"/>
    <s v="통합싱시감시시스템에서 AI 위험평가 데이터 연계 가능 시 승인 예정"/>
    <m/>
    <m/>
    <s v="20241113_감사정보시스템 고도화 및 클라우드 전환 구축_영업감사_2.docx"/>
    <s v="대면"/>
  </r>
  <r>
    <x v="0"/>
    <s v="영업감사 기타"/>
    <s v="Biz-0010"/>
    <s v="기타"/>
    <x v="1"/>
    <s v="요구사항정의"/>
    <x v="0"/>
    <s v="회의록"/>
    <s v="MDD-00030"/>
    <s v="부책감사 결과 등록 (심의 대상에 대한 세부 내용 및 관련 지적사항 입력)"/>
    <s v="⚪ 상시감사 지적사항으로 기 등록된 내용이 존재할 경우 관련 정보를 연계하여 화면에 표시(p55)_x000a_   - 상시감사&gt;지적사항조회&gt;영업점상시감사&gt;교육사항 정보조회]의 계좌번호 같은 경우_x000a_⚪ 기존 감사정보시스템에서 보유중인 내역 조회 추후 통합상시감사와 연계_x000a_⚪ 내역조회 버튼 클릭시 출력되는 내용이 다양해 형식에 구애받지않고 내용출력(준법추진부와 협의 필요)"/>
    <m/>
    <s v="감사부(영업감사)"/>
    <m/>
    <x v="0"/>
    <m/>
    <m/>
    <m/>
    <s v="20241113_감사정보시스템 고도화 및 클라우드 전환 구축_영업감사_2.docx"/>
    <s v="대면"/>
  </r>
  <r>
    <x v="0"/>
    <s v="영업감사 기타"/>
    <s v="Biz-0010"/>
    <s v="기타"/>
    <x v="1"/>
    <s v="요구사항정의"/>
    <x v="0"/>
    <s v="회의록"/>
    <s v="MDD-00031"/>
    <s v="각 분기별 정기부책 실시 시 현황정보를 입력/조회 할 수 있는 기능 제공"/>
    <s v="⚪ 정기부책 분기별 실시 내용을 등록하고 조회할 수 있는 기능 제공(p60)_x000a_⚪ (조회) 감사년도 및 분기 단위로 조건값을 지정하여 조회 가능_x000a_⚪ 조회조건에 따라 표시된 항목별로 계좌수, 금액을 입력 할 수 있으며, 값 입력 후 저장을 눌러 데이터를 반영할 수 있음 _x000a_   - 계좌수(좌) 및 금액(백만원) 항목에 데이터 미입력 시 기본값 0_x000a_⚪ 부책감사 현황(계좌수) 차트 제외"/>
    <m/>
    <s v="감사부(영업감사)"/>
    <m/>
    <x v="0"/>
    <m/>
    <m/>
    <m/>
    <s v="20241113_감사정보시스템 고도화 및 클라우드 전환 구축_영업감사_2.docx"/>
    <s v="대면"/>
  </r>
  <r>
    <x v="1"/>
    <s v="디지털 내부통제 점검기능 강화"/>
    <s v="Biz-0011"/>
    <s v="본부부서 디지털 내부통제 구축"/>
    <x v="1"/>
    <s v="요구사항정의"/>
    <x v="0"/>
    <s v="구축요건정의서"/>
    <s v="MDD-00032"/>
    <s v="본부 디지털 내부통제 점검 체크리스트 항목 관리"/>
    <s v="⚪ 본부 부서 디지털 내부통제 점검을 위해 기 선정된 주요 점검항목에 대한 현황을 조회하고 점검대상 존재 시 세부내역을 확인할 수 있도록 기능 제공(p88~p89)_x000a_⚪ 등록버튼은 시스템운영팀(IT)만 사용 가능하도록 권한 부여(점검항목 등록 후 데이터 연계 해야 하기 때문)"/>
    <m/>
    <s v="감사부(본점감사)"/>
    <m/>
    <x v="0"/>
    <m/>
    <m/>
    <m/>
    <m/>
    <s v="대면"/>
  </r>
  <r>
    <x v="1"/>
    <s v="디지털 내부통제 점검기능 강화"/>
    <s v="Biz-0011"/>
    <s v="본부부서 디지털 내부통제 구축"/>
    <x v="1"/>
    <s v="요구사항정의"/>
    <x v="0"/>
    <s v="구축요건정의서"/>
    <s v="MDD-00033"/>
    <s v="본부 디지털 내부통제 점검 체크리스트 항목별 세부 현황 조회"/>
    <s v="⚪ 본부 부서 디지털 내부통제 점검을 위해 기 선정된 주요 점검항목에 대한 현황을 조회하고 점검대상 존재 시 세부내역을 확인할 수 있도록 기능 제공(p90~p91)_x000a_⚪ 조회조건에 점검항목 목록 추가 점검항목 선택시 검색조건 기준년월일을 점검주기에 따라 일 월로 변경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34"/>
    <s v="내부통제점검 체크리스트 항목별 현황조회 (법적서류 점검)"/>
    <s v="⚪ 법적서류 사무분담 지정현황 조회용 화면(p92)_x000a_⚪ 조회조건 – 부서 : 부점별 또는 전체부서 조회 가능, 조회기준일 : 현재일자 고정_x000a_⚪ 조회기준 – 부점별 : 직원 사무분담내용에 ‘법적서류’가 포함된 직원을 표시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35"/>
    <s v="내부통제점검 체크리스트 항목별 현황조회 (법적서류 점검)"/>
    <s v="⚪ 법적서류 재고현황 조회용 화면(p93)_x000a_⚪ 조회조건 – 부서 : 부점별 또는 전체부서 조회 가능, 조회기준일 : 현재일자 고정_x000a_⚪ 조회기준 – 부점별 : 인감서류 보유현황 표시 / 재고수량, 인수예정수량 존재시 클릭하여 세부내용 조회 가능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36"/>
    <s v="내부통제점검 체크리스트 항목별 현황조회 (법적서류 점검)"/>
    <s v="⚪ 부점별 법적서류 교부/폐기 현황 조회용 화면(p94)_x000a_⚪ 조회조건 – 부서 : 부점별 또는 전체부서 조회 가능, 조회기준일 : 현재일자 고정, 조회구분 : 전체/교부/일반폐기_x000a_⚪ 조회기준 – 부점별 : 법적서류 보유현황 상세내역을 표기 (경영정보시스템 데이터 연계)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37"/>
    <s v="내부통제점검 체크리스트 항목별 현황조회 (인장날인 점검)"/>
    <s v="⚪ 인장날인 사무분담 지정현황 조회용 화면(p95)_x000a_⚪ 조회조건 – 부서 : 부점별 또는 전체부서 조회 가능, 조회기준일 : 현재일자 고정)_x000a_⚪ 조회기준 – 부점별 : 직원 사무분담내용에 ‘인장관리’, ‘인장입회’가 포함된 직원을 표시 (부서별 등록현황에 따라 표시정보 중복 가능)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38"/>
    <s v="내부통제점검 체크리스트 항목별 현황조회 (인장날인 점검)"/>
    <s v="⚪ 인장날인 절차 미준수 현황 조회용 화면(p96)_x000a_⚪ 조회조건 – 부서 : 부점별 또는 전체부서 조회 가능, 조회기준일 : 현재일자 고정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39"/>
    <s v="내부통제점검 체크리스트 항목별 현황조회 (인장날인 점검)"/>
    <s v="⚪ 중요인장 날인명세(담보용) 조회용 화면(p97)_x000a_⚪ 조회조건 – 부서 : 부점별 또는 전체부서 조회 가능, 조회기준일 : 현재일자 고정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40"/>
    <s v="내부통제점검 체크리스트 항목별 현황조회 (인장날인 점검)"/>
    <s v="⚪ 중요인장 날인명세(일반용) 조회용 화면(p98)_x000a_⚪ 조회조건 – 부서 : 부점별 또는 전체부서 조회 가능, 조회기준일 : 현재일자 고정(P98)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41"/>
    <s v="내부통제점검 체크리스트 항목별 현황조회 (사무분담 점검)"/>
    <s v="⚪ 부점별 사무분담 지정현황 조회용 화면 (p99)_x000a_⚪ 조회조건 – 부서 : 부점별 또는 전체부서 조회 가능, 기준년월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42"/>
    <s v="내부통제점검 체크리스트 항목별 현황조회 (사무분담 점검)"/>
    <s v="⚪ 전결권한 재위임 운영 현황 조회용 화면(p100)_x000a_⚪ 조회조건 – 부서 : 부점별 또는 전체부서 조회 가능, 기준년월_x000a_⚪ 조회기준 - 부서별 : 사무분담 현황을 기준으로 별도사무분담 입력 정보 중 ‘직무전결재위임’이 포함된 대상을 수집하여 화면에 표시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43"/>
    <s v="내부통제점검 체크리스트 항목별 현황조회 (명령휴가 의무대상자 점검)"/>
    <s v="⚪ 부점별 명령휴가 대상자 현황 조회용 화면(p101)_x000a_⚪ 조회조건 – 부서 : 부점별 또는 전체부서 조회 가능, 기준년월_x000a_⚪ 조회기준 - 부점별 : 명령휴가 현황을 표시하며, 각 세부항목은 준법지원시스템에 등록된 내역을 연계하여 표시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44"/>
    <s v="내부통제점검 체크리스트 항목별 현황조회 (일일검사 점검)"/>
    <s v="⚪ 일일 검사 당일 및 익일항목 미등록 명세 조회용 화면(p102)_x000a_⚪ 조회조건 – 부서 : 부점별 또는 전체부서 조회 가능, 기준년월일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45"/>
    <s v="내부통제점검 체크리스트 항목별 현황조회 (일일검사 점검)"/>
    <s v="⚪ 일일검사일지 당일 미결재 명세 조회용 화면(p103)_x000a_⚪ 조회조건 – 부서 : 부점별 또는 전체부서 조회 가능, 기준년월일_x000a_⚪ 부점별 일일검사 점검 현황을 표시하며, 각 세부항목은 준법지원시스템에 등록된 내역을 연계하여 표시 / 미결재 상태 또는 결재요청일과 결재완료일이 상이할 경우 점검대상으로 표시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46"/>
    <s v="내부통제점검 체크리스트 항목별 현황조회 (특명검사 점검)"/>
    <s v="⚪ 특명검사 미실시 명세 조회용 화면(p104)_x000a_⚪ 조회조건 – 부서 : 부점별 또는 전체부서 조회 가능, 기준년월일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47"/>
    <s v="내부통제점검 체크리스트 항목별 현황조회 (특명검사 점검)"/>
    <s v="⚪ 특명검사 실시 명세 조회용 화면(p105)_x000a_⚪ 조회조건 – 부서 : 부점별 또는 전체부서 조회 가능, 기준년월일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48"/>
    <s v="내부통제점검 체크리스트 항목별 현황조회 (부점명의통장 점검)"/>
    <s v="⚪ 부점별 부점명의통장 개설/해지 현황 조회용 화면(p106)_x000a_⚪ 조회조건 – 부서 : 부점별 또는 전체부서 조회 가능, 조회기준일 : 현재일자 고정_x000a_⚪ 부점별 보유중인 부점명의 통장현황을 준법지원 시스템정보와 연계하여 표시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49"/>
    <s v="내부통제점검 체크리스트 항목별 현황조회 (부점명의통장 점검)"/>
    <s v="⚪ 부점명의통장 입금분 중 당일 잔액 미정리 조회용 화면(p107)_x000a_⚪ 조회조건 – 부서 : 부점별 또는 전체부서 조회 가능, 기준년월일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50"/>
    <s v="내부통제점검 체크리스트 항목별 현황조회 (부점명의통장 점검)"/>
    <s v="⚪ 부점명의통장 반출/반납 및 인장관리 현황 조회용 화면(p108)_x000a_⚪ 조회조건 – 부서 : 부점별 또는 전체부서 조회 가능, 기준년월일_x000a_⚪ 부점별 보유중인 부점명의 통장 반출/반납 및 인장관리 현황을 준법지원 시스템정보와 연계하여 표시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51"/>
    <s v="내부통제점검 체크리스트 항목별 현황조회 (부점명의통장 점검)"/>
    <s v="⚪ 부점명의통장 잔액통지등록 현황 조회용 화면(p109)_x000a_⚪ 조회조건 – 부서 : 부점별 또는 전체부서 조회 가능, 조회기준일 : 현재일자 고정_x000a_⚪ 부점별 보유중인 부점명의 통장 잔액통지등록 정보를 MyStar와 연계하여 표시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52"/>
    <s v="내부통제점검 체크리스트 항목별 현황조회 (정기적 점검사항 점검)"/>
    <s v="⚪ 정기적 점검사항 이행 점검표 현황 조회용 화면(p110)_x000a_⚪ 조회조건 – 부서 : 부점별 또는 전체부서 조회 가능, 조회기준일 : 현재일자 고정_x000a_⚪ 부서별 정기적 점검사항 이행 점검표 현황 표시 (준법지원시스템&gt;정기적점검사항&gt;조회&gt;점검사항이행점검표 화면과 동일)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53"/>
    <s v="내부통제점검 체크리스트 항목별 현황조회 (부점교육현황 점검)"/>
    <s v="⚪ 부점교육 및 관리 현황 조회용 화면(p111)_x000a_⚪ 조회조건 – 부서 : 부점별 또는 전체부서 조회 가능, 조회기준일 : 현재일자 고정_x000a_⚪ 부서별 교육 및 관련 현황 표시 (한 화면에 1~12월 전체 표시)_x000a_⚪ 각 교육항목별 관련 시스템 대상으로 정보 연계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54"/>
    <s v="내부통제점검 체크리스트 항목별 현황조회 (가수가지급금 점검)"/>
    <s v="⚪ 부점별 가수금 명세 조회용 화면)(p112)_x000a_⚪ 조회조건 – 부서 : 부점별 또는 전체부서 조회 가능, 기준년월일_x000a_⚪ 기준년월일 기간안에 발생한 가수금내역 조회가 아닌 기준일 현재 원장상태 정상인것만(미정리분) 조회되도록 변경_x000a_⚪ 점검항목 상세보기를 팝업으로 구현 할지 아니면 점검항목별 메뉴로 별도 구현 할지 추후 정의하여 화면 기능 구현"/>
    <m/>
    <s v="감사부(본점감사)"/>
    <m/>
    <x v="0"/>
    <m/>
    <m/>
    <m/>
    <m/>
    <s v="대면"/>
  </r>
  <r>
    <x v="1"/>
    <s v="디지털 내부통제 점검기능 강화"/>
    <s v="Biz-0011"/>
    <s v="본부부서 디지털 내부통제 구축"/>
    <x v="1"/>
    <s v="요구사항정의"/>
    <x v="0"/>
    <s v="구축요건정의서"/>
    <s v="MDD-00055"/>
    <s v="내부통제점검 체크리스트 항목별 현황조회 (가수가지급금 점검)"/>
    <s v="⚪ 부점별 가지급금 명세 조회용 화면(p113)_x000a_⚪ 조회조건 – 부서 : 부점별 또는 전체부서 조회 가능, 기준년월일_x000a_⚪ 기준년월일 기간안에 발생한 가지급금내역 조회가 아닌 기준일 현재 원장상태 정상인것만(미정리분) 조회되도록 변경_x000a_⚪ 점검항목 상세보기를 팝업으로 구현 할지 아니면 점검항목별 메뉴로 별도 구현 할지 추후 정의하여 화면 기능 구현"/>
    <m/>
    <s v="감사부(본점감사)"/>
    <m/>
    <x v="0"/>
    <m/>
    <m/>
    <m/>
    <m/>
    <s v="대면"/>
  </r>
  <r>
    <x v="1"/>
    <s v="본부부서 위험요인 관리 체계 구축"/>
    <s v="Biz-0012"/>
    <s v="본부부서 위험요인 관리 체계 구축"/>
    <x v="1"/>
    <s v="요구사항정의"/>
    <x v="0"/>
    <s v="구축요건정의서"/>
    <s v="MDD-00056"/>
    <s v="본부별 위험요인 현황 조회"/>
    <s v="⚪ 본부 위험요인 현황을 조회할 수 있는 화면(p114)_x000a_       -조회조건 : 기준년도, 부서별(본부)_x000a_⚪ 본부별 위험요인 현황을 목록화하여 표시. 각 내용은 개별부서에서 입력한 결과를 토대로 화면에 표시됨 _x000a_       - 항목 세부요건은 업무담당자 협의 후 확정 필요_x000a_⚪ 개별 항목 클릭시 링크로 부서 세부내역 조회 가능하도록 기능 제공_x000a_⚪ 해당 화면은 감사정보시스템 감사부에서만 조회 가능 하게 구현(부점은 해당 화면 접근불가)"/>
    <m/>
    <s v="감사부(본점감사)"/>
    <m/>
    <x v="0"/>
    <m/>
    <m/>
    <m/>
    <m/>
    <s v="대면"/>
  </r>
  <r>
    <x v="1"/>
    <s v="본부부서 위험요인 관리 체계 구축"/>
    <s v="Biz-0012"/>
    <s v="본부부서 위험요인 관리 체계 구축"/>
    <x v="1"/>
    <s v="요구사항정의"/>
    <x v="0"/>
    <s v="구축요건정의서"/>
    <s v="MDD-00057"/>
    <s v="부서별 위험요인 현황 조회 (개별 부서에서 자가현황 파악 가능)"/>
    <s v="⚪ 부서별위험요인 현황을 조회할 수 있는 화면(개별 부서는 본인 부서내용만 확인 가능)(p115)_x000a_       -조회조건 : 기준년도, 부서_x000a_⚪ 부서별 위험요인/수행업무 현황을 목록화하여 표시. 각 내용은 개별부서에서 입력한 결과를 토대로 화면에 표시됨_x000a_⚪ 해당 화면은 감사정보시스템 감사부에서만 조회 가능 하게 구현(부점은 해당 화면 접근불가)_x000a_⚪ 조회 결과 세부 항목은 감사부에서 정의 하여 전달 예정"/>
    <m/>
    <s v="감사부(본점감사)"/>
    <m/>
    <x v="0"/>
    <m/>
    <m/>
    <m/>
    <m/>
    <s v="대면"/>
  </r>
  <r>
    <x v="1"/>
    <s v="본부부서 위험요인 관리 체계 구축"/>
    <s v="Biz-0012"/>
    <s v="본부부서 위험요인 관리 체계 구축"/>
    <x v="1"/>
    <s v="요구사항정의"/>
    <x v="0"/>
    <s v="구축요건정의서"/>
    <s v="MDD-00058"/>
    <s v="부서별 수행업무(총괄)를 입력·관리하는 화면"/>
    <s v="⚪ 부서 수행업무 현황을 조회하고 업무내역을 관리하는 기능 제공. 개별 부서는 본인부서의 내용만 조회 가능 (감사부는 전체 조회)(p116)_x000a_⚪ 부서별 수행업무 현황은 개별부서 입력 결과를 토대로 화면에 표시_x000a_   - 항목 세부요건은 업무담당자 협의 후 확정 필요_x000a_⚪ 결재 상태값에 따라 수정/등록 가능여부 판단 (확정 후 수정불가)_x000a_⚪ 세부 업무 입력내용은 후속화면과 연계하여 정합성 유지_x000a_⚪ 업무 구분 클릭 시 수행업무 상세내역 화면으로 이동_x000a_⚪ 조회 결과 세부 항목은 감사부에서 정의 하여 전달 예정"/>
    <m/>
    <s v="감사부(본점감사)"/>
    <m/>
    <x v="0"/>
    <m/>
    <m/>
    <m/>
    <m/>
    <s v="대면"/>
  </r>
  <r>
    <x v="1"/>
    <s v="본부부서 위험요인 관리 체계 구축"/>
    <s v="Biz-0012"/>
    <s v="본부부서 위험요인 관리 체계 구축"/>
    <x v="1"/>
    <s v="요구사항정의"/>
    <x v="0"/>
    <s v="구축요건정의서"/>
    <s v="MDD-00059"/>
    <s v="부서별 수행업무 상세내역을 입력·관리하는 화면"/>
    <s v="⚪ 부서 수행업무 상세내역 현황을 조회하고 세부내용을 관리하는 기능 제공. 등록완료 대상은 확정을 위해 부서장 결재 진행:확정을 위한 결재 방식에 대한 정리(감사부)(p117)_x000a_⚪ 부서별 수행업무 상세내역 현황은 개별부서 입력 결과를 토대로 화면에 표시, 입력 세부요건은 업무담당자 협의 후 확정 필요_x000a_   - ※ (참고)위험요인 분석표.xlsx_x000a_⚪ 수행업무 상세내역은 개별 업무명 별로 담당자가 직접 입력 및 저장할 수 있도록 기능 제공_x000a_   - (추가) : 표준양식 제공 가능시 SI 개발단계에서 일괄업로드 기능 추가_x000a_⚪ 감사부/부점 조회 가능 화면_x000a_⚪ 수행업무 항목 등록시 상태(작성중, 확정)는 해당 부서의 부서장 결재 완료 시 적용 할지 여부 감사부에서 정의하여 전달 예정(결재방식 추후 협의)"/>
    <m/>
    <s v="감사부(본점감사)"/>
    <m/>
    <x v="0"/>
    <m/>
    <m/>
    <m/>
    <m/>
    <s v="대면"/>
  </r>
  <r>
    <x v="1"/>
    <s v="감사절차 준수 기능 강화"/>
    <s v="Biz-0013"/>
    <s v="감사진행 상황에 맞춰 산출물과 보고서가 작성될 수 있도록 각 단계의 주요 프로세스가 완료되지 않으면 다음 프로세스를 진행할 수 없도록 통제 제한"/>
    <x v="1"/>
    <s v="요구사항정의"/>
    <x v="0"/>
    <s v="구축요건정의서"/>
    <s v="MDD-00060"/>
    <s v="본부감사에서 내감사 및 진행감사 현황 조회"/>
    <s v="⚪ 기타자료등록 및 감사실시통보서 버튼 존재 이외 버튼 삭제_x000a_⚪ 감사자료  단계 : 감사실시계획, 제출자료 및 감사일정 및 업무분장으로 분류_x000a_⚪ 본부감사&gt;사전감사&gt;사전감사자료의 감사실시계획 메뉴 -&gt; (구)감사실시계획으로 변경_x000a_⚪ 본부감사&gt;사전감사&gt;사전감사자료의 (신)감사실시계획 메뉴 신규 생성하여 감사자료단계에서 등록한 감사실시계획 목록 조회 화면 구현_x000a_⚪ 본부감사&gt;사전감사&gt;사전감사자료의 감사실시계획 메뉴 -&gt; (구)제출자료목록으로 변경_x000a_⚪ 본부감사&gt;사전감사&gt;사전감사자료의 (신)제출자료 메뉴 신규 생성하여 감사자료단계에서 등록한 제출자료 목록 조회 화면 구현_x000a_⚪ 본부감사&gt;사전감사&gt;사전감사자료에 감사일정 및 업무분장 메뉴 신규 생성하여 감사자료단계에서 등록한 감사일정 및 업무분장 목록 조회 화면 구현_x000a_⚪ 감사결과보서  단계 : 해당 프로세스단계의 최종 단계로 최하위에 위치하며 감사결과보고서 작성 및 해당 감사결과보고서 단계에만 승인 상태 항목 추가_x000a_⚪ 각 감사단계 미종료 시(단계별 승인상태가 미승인일 경우) 후속절차 진행(등록/입력) 못하도록 전산통제 기능 추가(P70)"/>
    <m/>
    <s v="감사부(본점감사)"/>
    <m/>
    <x v="0"/>
    <m/>
    <m/>
    <m/>
    <m/>
    <s v="대면"/>
  </r>
  <r>
    <x v="1"/>
    <s v="감사절차 준수 기능 강화"/>
    <s v="Biz-0013"/>
    <s v="감사진행 상황에 맞춰 산출물과 보고서가 작성될 수 있도록 각 단계의 주요 프로세스가 완료되지 않으면 다음 프로세스를 진행할 수 없도록 통제 제한"/>
    <x v="1"/>
    <s v="요구사항정의"/>
    <x v="0"/>
    <s v="구축요건정의서"/>
    <s v="MDD-00061"/>
    <s v="본부감사 종료 이후 감사결과 및 관련 자료 등록/관리"/>
    <s v="⚪ 내감시 및 진행 감사에서 등록한 감사조서, 감사결과 보고서, 귀임보고서 선택다운로드 및 일괄 다운로드 할 수있는 기능 제공(p71)_x000a_⚪ 본부감사&gt;감사운영&gt;전체감사&gt;연도도별 메뉴 화면에 기실시한 감사 조회 결과 항목의 감사역항목 다음에 감사보고서 항목 추가하여 감사보고서조회 항목을 클릭하면  계획년, 차수, 감사명, 감사조서(다운로드), 귀임보고서(다운로드), 감사보고서(다운로드), 일괄다운로드 항목으로 구성 된 Pop-Up창 생성 "/>
    <m/>
    <s v="감사부(본점감사)"/>
    <m/>
    <x v="0"/>
    <m/>
    <m/>
    <m/>
    <m/>
    <s v="대면"/>
  </r>
  <r>
    <x v="1"/>
    <s v="감사절차 준수 기능 강화"/>
    <s v="Biz-0014"/>
    <s v="대시보드"/>
    <x v="1"/>
    <s v="요구사항정의"/>
    <x v="0"/>
    <s v="구축요건정의서"/>
    <s v="MDD-00062"/>
    <s v="본부감사 현황을 확인할 수 있는 대시보드"/>
    <s v="⚪ 신규화면 : 본부감사 현황을 한번에 조회할 수 있는 대시보드 제공(p120)_x000a_   - 감사실시현황, 지적사항 조치현황, 진행감사 상세, 감사부 주요일정, 감사구분별 현황, 조치현황, 휴가현황, 공지사항, 감사지적현황, _x000a_      내감사 진행현황, RM보고 및 감사자료실_x000a_⚪ 본부감사 클릭 시 메인화면(첫페이지)에 본 화면이 출력되도록 함_x000a_⚪ 현재 부서 메인 화면 사이즈와 동일하게 구현"/>
    <m/>
    <s v="감사부(본점감사)"/>
    <m/>
    <x v="0"/>
    <m/>
    <m/>
    <m/>
    <m/>
    <s v="대면"/>
  </r>
  <r>
    <x v="1"/>
    <s v="감사결과 조치요구사항 이행 등록방법 개선"/>
    <s v="Biz-0015"/>
    <s v="현행 부서별 감사결과 조치요구사항에 대하여 기한내 조치토록 하고, 조치결과는 &quot;감사결과 조치요구사항 정리보고서&quot; 작성(부서장 서명) 후 증빙자료와 함께 감사정보시스템에 등록"/>
    <x v="1"/>
    <s v="요구사항정의"/>
    <x v="0"/>
    <s v="구축요건정의서"/>
    <s v="MDD-00063"/>
    <s v="감사종료 후 등록된 지적사항 중 심의 필요 대상 의뢰 및 관리"/>
    <s v="⚪ 심의의뢰 등록시 지적사항추가 버튼 클릭 시 지적사항 목록 팝업이 나타난며 특정 지적사항을 선택 했을 경우 지적사항 내용이 심의사항 내용 항목에 자동으로 입력되는 기능 제공(p78)"/>
    <m/>
    <s v="감사부(본점감사)"/>
    <m/>
    <x v="0"/>
    <m/>
    <m/>
    <m/>
    <m/>
    <s v="대면"/>
  </r>
  <r>
    <x v="1"/>
    <s v="감사결과 조치요구사항 이행 등록방법 개선"/>
    <s v="Biz-0016"/>
    <s v="감사정보시스템 조치결과 등록 시 부점장 전자결재 프로세스 구축을 통하여 &quot;감사결과 조치요구사항 정리보고서&quot; 수기작성 절차 생략"/>
    <x v="1"/>
    <s v="요구사항정의"/>
    <x v="0"/>
    <s v="구축요건정의서"/>
    <s v="MDD-00064"/>
    <s v="감사결과 조치요구사항 정리보고서 수기작성 절차"/>
    <s v="⚪ 감사정보시스템(부점용)&gt;지적사항관리&gt;본부감사지적사항관리&gt;본부감사지적사항관리 조치이행 부서내 확인 기능_x000a_⚪ 부서내 확인기능은 조치이행에 대한 내용 및 첨부파일을 담당자가 작성하고 부서장이 다시 한번 검증하는 기능"/>
    <m/>
    <s v="감사부(본점감사)"/>
    <m/>
    <x v="0"/>
    <m/>
    <m/>
    <m/>
    <m/>
    <m/>
  </r>
  <r>
    <x v="1"/>
    <s v="감사결과보고서 관리체계개선"/>
    <s v="Biz-0017"/>
    <s v="Knowledge DB 통합검색 기능 "/>
    <x v="1"/>
    <s v="요구사항정의"/>
    <x v="0"/>
    <s v="구축요건정의서"/>
    <s v="MDD-00065"/>
    <s v="본부 감사결과에 따른 지적사항 등록"/>
    <s v="⚪ 키워드 입력 항목 추가. 지적사항 등록 시 지적과 관련된 주요 키워드를 ‘#키워드’ 형태로 입력하게 함. 이후 DB에 #로 구분된 키워드들이 각각 _x000a_    저장되며, 본 정보는 검색기능 제공시 활용됨 (p75)_x000a_⚪ 감사보고서 등록시 키워드 항목 필수 입력 항목으로 등록 할 수 있도록 구현_x000a_⚪ 감사조서와 귀임보고서는 통합검색에서 like 검색 대상임"/>
    <m/>
    <s v="감사부(본점감사)"/>
    <m/>
    <x v="0"/>
    <m/>
    <m/>
    <m/>
    <m/>
    <s v="대면"/>
  </r>
  <r>
    <x v="1"/>
    <s v="감사결과보고서 관리체계개선"/>
    <s v="Biz-0018"/>
    <s v="감사결과 검색기능 강화"/>
    <x v="1"/>
    <s v="요구사항정의"/>
    <x v="0"/>
    <s v="회의록"/>
    <s v="MDD-00066"/>
    <s v="감사별 평가 내역 및 결과 조회 "/>
    <s v="⚪ 감사별 평가 결과 조회시 과거 부점명 결과 항목 추가(과거 부점명은 검색 시작일 기준으로 과거 부점명 표시하며 과거 기준 부점명은 5년이내 데이터만 조회(P85)_x000a_ - 본부감사&gt;감사운영&gt;감사선택&gt;내감사&gt;&gt;(구)대표부점명 조회결과에 항목추가_x000a_ - 본부감사&gt;감사운영&gt;전체감사&gt;연도별&gt;연도별 검색&gt;(구)대표부점명 조회결과에 항목추가_x000a_ - 본부감사&gt;감사운영&gt;전체감사&gt;연도별&gt;감사목록검색&gt;(구)대표부점명 조회결과에 항목추가_x000a_ - 본부감사&gt;감사결과&gt;지적사항관리&gt;내 지적사항&gt;년도별검색&gt;(구)실행부서 조회결과에 항목추가_x000a_ - 본부감사&gt;감사결과&gt;지적사항관리&gt;감사별조회&gt;감사목록 검색&gt;(구)실행부서 조회결과에 항목추가_x000a_ - 본부감사&gt;감사결과&gt;지적사항관리&gt;감사역별조회&gt;&gt;(구)실행부서 조회결과에 항목추가_x000a_ - 본부감사&gt;감사결과&gt;지적사항관리&gt;지적사항 명세&gt;&gt;(구)실행부서 조회결과에 항목추가_x000a_ - 본부감사&gt;감사결과&gt;지적사항관리&gt;심의의뢰&gt;&gt;(구)대상부점 조회결과에 항목추가_x000a_ - 본부감사&gt;관리자&gt;수감부서 설문조사 관리&gt;감사별 평가 결과&gt;부서별 평가 결과&gt;(구)부점명 조회결과에 항목추가_x000a_ - 본부감사&gt;관리자&gt;수감부서 설문조사 관리&gt;감사별 평가 결과&gt;개인별 평가 결과&gt;(구)부점명 조회결과에 항목추가_x000a_ - 본부감사&gt;관리자&gt;수감부서 설문조사 관리&gt;감사별 평가 결과&gt;감사실시 명세&gt;(구)부점명 조회결과에 항목추가"/>
    <m/>
    <s v="감사부(본점감사)"/>
    <m/>
    <x v="0"/>
    <m/>
    <m/>
    <m/>
    <m/>
    <s v="대면"/>
  </r>
  <r>
    <x v="1"/>
    <s v="감사자료 추출 편의 강화"/>
    <s v="Biz-0019"/>
    <s v="지적사항 정리 관련 부서제출 자료의 일괄 추출 기능 제공"/>
    <x v="1"/>
    <s v="요구사항정의"/>
    <x v="0"/>
    <s v="회의록"/>
    <s v="MDD-00067"/>
    <s v="본부 감사결과에 따른 지적현황 조회 및 관리"/>
    <s v="⚪ 본부감사&gt;감사결과&gt;지적사항관리&gt;감사별조회 메뉴 유지(부서별조회, 감사역별조회 메뉴는 삭제)(P76)_x000a_⚪ 본부감사&gt;감사결과&gt;지적사항관리&gt;지적사항 명세 화면에 (조치상태, 감사역, 부서조회, 지적사항 제목, 팀구분, 감사구분, Keyword조회/검색어)_x000a_   검색조건 추가"/>
    <m/>
    <s v="감사부(본점감사)"/>
    <m/>
    <x v="0"/>
    <m/>
    <m/>
    <m/>
    <m/>
    <s v="대면"/>
  </r>
  <r>
    <x v="1"/>
    <s v="감사자료 추출 편의 강화"/>
    <s v="Biz-0020"/>
    <s v="감사보고서 등 감사종료시 등재 자료에 대한 일괄 다운로드 기능 제공"/>
    <x v="1"/>
    <s v="요구사항정의"/>
    <x v="0"/>
    <s v="회의록"/>
    <s v="MDD-00068"/>
    <s v="본부 감사결과에 따른 지적현황 세부내역 조회 및 관리"/>
    <s v="⚪ 다운로드 버튼을 본점, 부점분리하여 본점용 및 부점용 다운로드 가능 하도록 기능 제공(p77)_x000a_⚪ 지적사항 조치완료 기일도래 전 담당자/감사역/운영반에 별도 알림 전송(기능 구현되어 있음)_x000a_⚪ ASIS의 부서별 조회와 감사역별 조회 화면의 검색 항목(조치상태, 감사역, 부서조회, 지적사항 제목, 팀구분, 감사구분, Keyword조회/검색어)을 추가하여 검색조건 기능 제공"/>
    <m/>
    <s v="감사부(본점감사)"/>
    <m/>
    <x v="0"/>
    <m/>
    <m/>
    <m/>
    <m/>
    <s v="대면"/>
  </r>
  <r>
    <x v="1"/>
    <s v="본부감사기타"/>
    <s v="Biz-0022"/>
    <s v="기타"/>
    <x v="1"/>
    <s v="요구사항정의"/>
    <x v="0"/>
    <s v="회의록"/>
    <s v="MDD-00069"/>
    <s v="대외규정상 준수대상 계량지표 관련 내용 조회"/>
    <s v="⚪ 본부감사 &gt; 사전감사 &gt; 사전감사자료 &gt; 대외규정상 준수대상 계량지표 점검 &gt; 참고자료 및 연도별 점검 메뉴 통합(p72)"/>
    <m/>
    <s v="감사부(본점감사)"/>
    <m/>
    <x v="0"/>
    <m/>
    <m/>
    <m/>
    <m/>
    <s v="대면"/>
  </r>
  <r>
    <x v="1"/>
    <s v="본부감사기타"/>
    <s v="Biz-0022"/>
    <s v="기타"/>
    <x v="1"/>
    <s v="요구사항정의"/>
    <x v="0"/>
    <s v="회의록"/>
    <s v="MDD-00070"/>
    <s v="글로벌영업점 감사업무 매뉴얼 조회 및 관리"/>
    <s v="⚪ 본부감사 &gt; 사전감사 &gt; 감사업무방법서 &gt; 글로벌영업점 감사업무 매뉴얼의 하위 메뉴 통합(p73)_x000a_⚪ 통합 화면의 지역지점 선택 종류는 뉴욕지점, 동경지점, 구르그람지점, 첸나이지점, 푸네지점, 런던지점, 홍콩지점, 싱가포르지점, 호치민지점, 하노이지점, 중국현지법인(광저우지점, 하얼빈지점 통합), MF미얀마법인, 미얀마은행, KB Bank(인도네시아) KB Prasac항목으로 선택 박스 구현"/>
    <m/>
    <s v="감사부(본점감사)"/>
    <m/>
    <x v="0"/>
    <m/>
    <m/>
    <m/>
    <m/>
    <s v="대면"/>
  </r>
  <r>
    <x v="1"/>
    <s v="본부감사기타"/>
    <s v="Biz-0022"/>
    <s v="기타"/>
    <x v="1"/>
    <s v="요구사항정의"/>
    <x v="0"/>
    <s v="회의록"/>
    <s v="MDD-00071"/>
    <s v="사업본부별 BMP 관련 자료 조회 및 관리"/>
    <s v="⚪ 본부감사&gt;정보관리&gt;과거자료 모음 메뉴에 통합(p74) "/>
    <m/>
    <s v="감사부(본점감사)"/>
    <m/>
    <x v="0"/>
    <m/>
    <m/>
    <m/>
    <m/>
    <s v="대면"/>
  </r>
  <r>
    <x v="1"/>
    <s v="본부감사기타"/>
    <s v="Biz-0022"/>
    <s v="기타"/>
    <x v="1"/>
    <s v="요구사항정의"/>
    <x v="0"/>
    <s v="회의록"/>
    <s v="MDD-00072"/>
    <s v="내부통제평가 근기표 등록 및 자료 관리"/>
    <s v="⚪ 내부통제평가근기표의 하위 메뉴인 참고자료, 연도별 자료 메뉴 통합_x000a_   - 연도별 자료 선택시 조회년도 선택 시 연도선택 Select Box 활성화(p79)"/>
    <m/>
    <s v="감사부(본점감사)"/>
    <m/>
    <x v="0"/>
    <m/>
    <m/>
    <m/>
    <m/>
    <s v="대면"/>
  </r>
  <r>
    <x v="1"/>
    <s v="본부감사기타"/>
    <s v="Biz-0022"/>
    <s v="기타"/>
    <x v="1"/>
    <s v="요구사항정의"/>
    <x v="0"/>
    <s v="회의록"/>
    <s v="MDD-00073"/>
    <s v="지적사항사후점검 내용 등록 및 자료 관리"/>
    <s v="⚪ 지적사항사후점검내용조회의 하위 메뉴인 지적사항사후점검, 분기점검 및 현장감사 메뉴 통합(p80)"/>
    <m/>
    <s v="감사부(본점감사)"/>
    <m/>
    <x v="0"/>
    <m/>
    <m/>
    <m/>
    <m/>
    <s v="대면"/>
  </r>
  <r>
    <x v="1"/>
    <s v="본부감사기타"/>
    <s v="Biz-0022"/>
    <s v="기타"/>
    <x v="1"/>
    <s v="요구사항정의"/>
    <x v="0"/>
    <s v="회의록"/>
    <s v="MDD-00074"/>
    <s v="글로벌감사 중요정보보고 및 수검정보보고 내역 관리"/>
    <s v="⚪ 글로벌 정보고관리 메뉴 통합 대상인 중요정보보고, (신)중요정보보고, 수검정보보고 및 (신)수검정보보고가 데이터의  상이로 통합 불가_x000a_⚪ 메뉴는 통합하여 하나의 화면에 탭으로 중요정보보고, (신)중요정보보고, 수검정보보고 및 (신)수검정보보고로 구성하여 구현"/>
    <m/>
    <s v="감사부(본점감사)"/>
    <m/>
    <x v="1"/>
    <m/>
    <m/>
    <m/>
    <s v="20241114_감사정보시스템 고도화 및 클라우드 전환 구축_본부감사_2.docx"/>
    <s v="대면"/>
  </r>
  <r>
    <x v="1"/>
    <s v="본부감사기타"/>
    <s v="Biz-0022"/>
    <s v="기타"/>
    <x v="1"/>
    <s v="요구사항정의"/>
    <x v="0"/>
    <s v="회의록"/>
    <s v="MDD-00075"/>
    <s v="국가별 RM정보 및 공통자료 관리"/>
    <s v="⚪ 국외감사 RM보고 메뉴의 하위 메뉴인 미국, 일본, 홍콩, 영국, 뉴질랜드, 인도, 중국, 베트남, 캄보디아, 미얀마, 통합RM보고서 및 화상회의자료 메뉴 통합(p82)"/>
    <m/>
    <s v="감사부(본점감사)"/>
    <m/>
    <x v="0"/>
    <m/>
    <m/>
    <m/>
    <m/>
    <s v="대면"/>
  </r>
  <r>
    <x v="1"/>
    <s v="본부감사기타"/>
    <s v="Biz-0022"/>
    <s v="기타"/>
    <x v="1"/>
    <s v="요구사항정의"/>
    <x v="0"/>
    <s v="회의록"/>
    <s v="MDD-00076"/>
    <s v="본부감사 주요 자료 및 전파내용 관리"/>
    <s v="⚪ 본부감사&gt;정보관리’ 하위 메뉴 중 감사제도/운영, 정보수집자료 및 금감원 업무보고서/사업그룹모니터링자료 통합(p83)"/>
    <m/>
    <s v="감사부(본점감사)"/>
    <m/>
    <x v="0"/>
    <m/>
    <m/>
    <m/>
    <m/>
    <s v="대면"/>
  </r>
  <r>
    <x v="1"/>
    <s v="본부감사기타"/>
    <s v="Biz-0022"/>
    <s v="기타"/>
    <x v="1"/>
    <s v="요구사항정의"/>
    <x v="0"/>
    <s v="회의록"/>
    <s v="MDD-00077"/>
    <s v="다면평가 과거 이력 조회 전용 메뉴 (2016.06 이전 자료)"/>
    <s v="⚪ 본부감사&gt;관리자&gt;다면평가(2016.06이전)의 하위 메뉴인 다면평가현황 조회 및 다면평가결과 조회 메뉴 통합(P84)"/>
    <m/>
    <s v="감사부(본점감사)"/>
    <m/>
    <x v="0"/>
    <m/>
    <m/>
    <m/>
    <m/>
    <s v="대면"/>
  </r>
  <r>
    <x v="1"/>
    <s v="본부감사기타"/>
    <s v="Biz-0022"/>
    <s v="기타"/>
    <x v="1"/>
    <s v="요구사항정의"/>
    <x v="1"/>
    <s v="회의록"/>
    <s v="MDD-00078"/>
    <s v="감사역들의 감사활동에 대한 평가결과 조회 및 관리"/>
    <s v="⚪ 메뉴 통합이 불가하여 현행 유지(p86)"/>
    <m/>
    <s v="감사부(본점감사)"/>
    <m/>
    <x v="2"/>
    <s v="1차 본부감사 업무 요구사항 회의 시 협의"/>
    <m/>
    <m/>
    <s v="20241104_감사정보시스템 고도화 및 클라우드 전환 구축_본부감사.docx"/>
    <s v="대면"/>
  </r>
  <r>
    <x v="1"/>
    <s v="본부감사기타"/>
    <s v="Biz-0022"/>
    <s v="기타"/>
    <x v="1"/>
    <s v="요구사항정의"/>
    <x v="0"/>
    <s v="회의록"/>
    <s v="MDD-00079"/>
    <s v="사업그룹 별 평가 총괄표 작성 및 관리"/>
    <s v="⚪ 평가수정버튼 요청이 있었으나 수정이 필요없어서 현행 유지(p87)"/>
    <m/>
    <s v="감사부(본점감사)"/>
    <m/>
    <x v="0"/>
    <m/>
    <m/>
    <m/>
    <m/>
    <s v="대면"/>
  </r>
  <r>
    <x v="1"/>
    <s v="본부감사기타"/>
    <s v="Biz-0022"/>
    <s v="기타"/>
    <x v="1"/>
    <s v="요구사항정의"/>
    <x v="0"/>
    <s v="회의록"/>
    <s v="MDD-00080"/>
    <s v="각 부서별 담당(운영)하는 시스템 및 관련 정보들을 조회/관리하여 감사준비 시 활용할 수 있도록 기능 제공"/>
    <s v="⚪ 본부부서 감사 계획 수립 시 참고를 위한 소관부서별 업무시스템을 관리하는 기능 제공(p118)_x000a_   - 조회조건 : 조회부서, 사업그룹/부서(개별 또는 그룹단위 조회 가능-첫번째 셀렉트박스에는 그룹단위, 두번째 셀렉트박스는_x000a_      부서단위로 구현), 시스템명, 관련감사_x000a_⚪ 부서별 관련 시스템 현황을 목록화하여 표시. 각 내용은 담당자가 직접 입력/관리하도록 함_x000a_⚪ 등록버튼 클릭시 부서별 담당시스템 및 추가정보 입력할 수 있도록 하며, 본 내용은 누구나(본부감사 감사역) 수정 가능_x000a_⚪ 본 화면에 입력된 정보를 토대로 감사회차 등록 및 감사원 배정 완료시 자동으로 관련시스템 권한부여 시행문이 작성되는 기능은 _x000a_   추후 과제로 진행예정:내용 제외_x000a_⚪ 출력항목 No, 부서, 담당시스템, 권한(세부항목) 항목 만 조회되고 신청사유, 관련감사 및 최근수정일자 항목은 제외"/>
    <m/>
    <s v="감사부(본점감사)"/>
    <m/>
    <x v="0"/>
    <m/>
    <m/>
    <m/>
    <m/>
    <s v="대면"/>
  </r>
  <r>
    <x v="1"/>
    <s v="본부감사기타"/>
    <s v="Biz-0022"/>
    <s v="본부감사 자료실"/>
    <x v="1"/>
    <s v="요구사항정의"/>
    <x v="1"/>
    <s v="구축요건정의서"/>
    <s v="MDD-00081"/>
    <s v="영업점-&gt;본부부서로 전입하여 위험평가대상에서 제외된 직원들의 과거 이력을 조회하는 기능 제공"/>
    <s v="⚪ 본부직원 위험이력 조회 삭제"/>
    <m/>
    <s v="감사부(본점감사)"/>
    <m/>
    <x v="2"/>
    <s v="2차 본부감사 업무 요구사항 회의 시 협의"/>
    <m/>
    <m/>
    <s v="20241114_감사정보시스템 고도화 및 클라우드 전환 구축_본부감사_2.docx"/>
    <s v="대면"/>
  </r>
  <r>
    <x v="2"/>
    <s v="점검기능 강화"/>
    <s v="Biz-0023"/>
    <s v="일상감사 진행/점검 현황을 다양한 조건으로 검색할 수 있도록 화면 개선"/>
    <x v="1"/>
    <s v="요구사항정의"/>
    <x v="0"/>
    <s v="구축요건정의서"/>
    <s v="MDD-00082"/>
    <s v="일상감사 현황 조회 및 관리 "/>
    <s v="⚪ 일상감사 현황 조회 및 관리 자동통보 기능 worKB연계 가능(P124)_x000a_⚪ 일상감사 현황 관련 검색기능 강화 : 영역별 Keyword 검색 기능 제공, 지역그룹, 본부단위 검색 기능 제공(P124)_x000a_⚪ 심의의견서 등 상세내용 조회 시 전체 Text 한눈에 조회 가능 제공(P124)_x000a_⚪ 일상감사 현황(종합) 분류 구분 추가(사전감사, 사후감사, 상임감사위원, 재위임)_x000a_⚪ 일상감사 현황을 대쉬보드 형태로 표시(p125)_x000a_⚪ 일상감사 현황(종합) 분류별 건수 표시(사전감사, 사후감사, 상임감사위원, 재위임)(p125)"/>
    <m/>
    <s v="감사기획부"/>
    <m/>
    <x v="0"/>
    <m/>
    <m/>
    <m/>
    <m/>
    <m/>
  </r>
  <r>
    <x v="2"/>
    <s v="점검기능 강화"/>
    <s v="Biz-0024"/>
    <s v="일상감사 관련 커뮤니케이션 기능 강화"/>
    <x v="1"/>
    <s v="요구사항정의"/>
    <x v="0"/>
    <s v="구축요건정의서"/>
    <s v="MDD-00083"/>
    <s v="Wise-net 에서 일상감사 생략대상으로 등록된 문서들을 조회"/>
    <s v="⚪ 화면 조회 시 컬럼정보 추가 : 생략문서 별 ‘생략사유‘ 정보 각 생략사유 클릭 시 등록된 전체 텍스트 정보를 확인할 수 있도록 기능 제공(P126)"/>
    <m/>
    <s v="감사기획부"/>
    <m/>
    <x v="0"/>
    <m/>
    <m/>
    <m/>
    <m/>
    <m/>
  </r>
  <r>
    <x v="2"/>
    <s v="점검기능 강화"/>
    <s v="Biz-0024"/>
    <s v="일상감사 관련 커뮤니케이션 기능 강화"/>
    <x v="1"/>
    <s v="요구사항정의"/>
    <x v="0"/>
    <s v="구축요건정의서"/>
    <s v="MDD-00084"/>
    <s v="본부감사 수집정보 및 일상감사 관련 참고자료 관리"/>
    <s v="⚪ 조회 시 조회 목록 수 30개 Default, 조회 목록 수 직접 입력은 제외(P127)_x000a_⚪ 일상감사 &gt; 정보수집 &gt; 수집정보 조회 및 등록(MDD75MBO000) 메뉴를 본부감사 &gt; 정보관리 &gt; 본부감사 자료실 이동(P127) -&gt; 메뉴 이동하지 않고 현행 유지"/>
    <m/>
    <s v="감사기획부"/>
    <m/>
    <x v="0"/>
    <m/>
    <m/>
    <m/>
    <m/>
    <s v="대면"/>
  </r>
  <r>
    <x v="2"/>
    <s v="점검기능 강화"/>
    <s v="Biz-0024"/>
    <s v="일상감사 관련 커뮤니케이션 기능 강화"/>
    <x v="1"/>
    <s v="요구사항정의"/>
    <x v="0"/>
    <s v="구축요건정의서"/>
    <s v="MDD-00085"/>
    <s v="일상감사 대상에 대해 개별 부서에서 사전협의 안을 등록하고 감사부에서 관리하는 기능 제공"/>
    <s v="⚪ 일상감사 대상에 대해 개별 부서에서 사전협의 안을 등록하고 감사부에서 관리하는 기능 제공_x000a_⚪ 일상감사 사전협의 등록 시 시행(예정)일 항목 추가 (날자는 사용자 선택)(P128)_x000a_⚪ 파일업로드 용량 현재 200MB이나 추가 가능 여부 IT와 협의 후 결정(P129)_x000a_⚪ 비고 입력 항목 추가(감사역 만 작성 및 조회 가능) (P130)_x000a_⚪ 분류 입력시 항목 결과에서 조회 가능 여부 확인(wise-net) (P130)"/>
    <m/>
    <s v="감사기획부"/>
    <m/>
    <x v="0"/>
    <m/>
    <m/>
    <m/>
    <m/>
    <s v="대면"/>
  </r>
  <r>
    <x v="3"/>
    <s v="본부/글로벌 Rule분석 / 관리"/>
    <s v="Biz-0025"/>
    <s v="본부 및 글로벌 상시점검항목 Rule분석"/>
    <x v="1"/>
    <s v="요구사항정의"/>
    <x v="0"/>
    <s v="구축요건정의서"/>
    <s v="MDD-00086"/>
    <s v="본부 및 글로벌 상시감사 점검항목 분석"/>
    <s v="⚪ 본부상시 10개 항목 신규 개발_x000a_⚪ 기존 28개 항목관련 본부상시 점검항목별 Rule 세분화 작업 취소"/>
    <m/>
    <s v="감사부(본점감사)"/>
    <m/>
    <x v="0"/>
    <m/>
    <m/>
    <m/>
    <m/>
    <s v="대면"/>
  </r>
  <r>
    <x v="3"/>
    <s v="본부 및 글로벌 상시점검항목 Rule분석"/>
    <s v="Biz-0026"/>
    <s v="점검항목 별 Rule관리 화면 개발"/>
    <x v="1"/>
    <s v="요구사항정의"/>
    <x v="0"/>
    <s v="구축요건정의서"/>
    <s v="MDD-00087"/>
    <s v="점검항목별 메뉴얼 관리"/>
    <s v="⚪ 상시감사 점검항목(점검메뉴얼)관리는 점검항목 분류별, 점검항목명, 점검구분별 조회 기능 제공(p19, p32 ~p37)_x000a_⚪ 점검항목 분류별, 점검항목명, 점검구분별 조회 기능 제공(p19, p32 ~p37)_x000a_⚪ 점검항목별 점검배경, 점검구분, 방법, 점검방법, 관련규징 및 지침 등 을 관리 할 수 있는 기능제공(p19, p32 ~p37)_x000a_⚪ 점검항목별 수정시 변경 이력 관리가 가능한 기능 제공(p19, p32 ~p37)"/>
    <m/>
    <s v="감사부(본점감사)"/>
    <m/>
    <x v="0"/>
    <m/>
    <m/>
    <m/>
    <m/>
    <s v="대면"/>
  </r>
  <r>
    <x v="3"/>
    <s v="본부 및 글로벌 상시점검항목 Rule분석"/>
    <s v="Biz-0027"/>
    <s v="본부/글로벌 Rule분석 결과 조회"/>
    <x v="1"/>
    <s v="요구사항정의"/>
    <x v="0"/>
    <s v="구축요건정의서"/>
    <s v="MDD-00088"/>
    <s v="글로벌 상시"/>
    <s v="⚪ 글로벌 상시 점검항목 점검 시 개별부에 보여지는 정보 항목 추가-항목 미정의 (컨설팅요건정의서 페이지 없음)"/>
    <m/>
    <s v="감사부(본점감사)"/>
    <m/>
    <x v="0"/>
    <m/>
    <m/>
    <m/>
    <m/>
    <m/>
  </r>
  <r>
    <x v="3"/>
    <s v="본부/글로벌 상시점검"/>
    <s v="Biz-0027"/>
    <s v="본부/글로벌 Rule 분석 결과 조회"/>
    <x v="1"/>
    <s v="요구사항정의"/>
    <x v="0"/>
    <s v="구축요건정의서"/>
    <s v="MDD-00089"/>
    <s v="상시감사 점검현황 및 통계자료 시각화 제공"/>
    <s v="⚪ 기존 화면 기능 유지 (영업점 관련 기능 제외, 본부/글로벌 전용으로 기능 구성) (p29)_x000a_⚪ 업무구분 검색조건 추가, 본부/글로벌 상시업무에 맞춰 하단 통계표 컬럼정보 변경_x000a_⚪ 조회조건 상시감사역 선택 박스 삭제로 점검률, 지도 삭제는 구현 하지 않음_x000a_⚪ 기준기간별 실시간 추출, 점검등 출력항목 감사부에서 정의 후 기능 구현"/>
    <m/>
    <s v="감사부(본점감사)"/>
    <m/>
    <x v="0"/>
    <m/>
    <m/>
    <m/>
    <m/>
    <s v="대면"/>
  </r>
  <r>
    <x v="3"/>
    <s v="본부/글로벌 상시점검"/>
    <s v="Biz-0027"/>
    <s v="본부/글로벌 Rule분석 결과 조회"/>
    <x v="1"/>
    <s v="요구사항정의"/>
    <x v="1"/>
    <s v="구축요건정의서"/>
    <s v="MDD-00090"/>
    <s v="거래내역 통합 조회 (일별, 기간, 계좌/고객, 배치)"/>
    <s v="⚪ 영업점 상시점검 거래내역 통합조회와 본부 및 글로벌 상시의 거래내역 유형이 상이해서 해당 화면 기능 구현하지 않음(p30) "/>
    <m/>
    <s v="감사부(본점감사)"/>
    <m/>
    <x v="2"/>
    <s v="1차 상시감사 업무 요구사항 회의 시 삭제 하기로 협의"/>
    <m/>
    <m/>
    <s v="20241104_감사정보시스템 고도화 및 클라우드 전환 구축_상시감시.docx"/>
    <s v="대면"/>
  </r>
  <r>
    <x v="3"/>
    <s v="본부/글로벌 상시점검"/>
    <s v="Biz-0028"/>
    <s v="점검 결과 지적사항 등록 및 관리"/>
    <x v="1"/>
    <s v="요구사항정의"/>
    <x v="0"/>
    <s v="구축요건정의서"/>
    <s v="MDD-00091"/>
    <s v="본부상시 항목별 점검대상 확인 및 점검 진행"/>
    <s v="⚪ 점검내용 등록의 지적사항 작성시 템플릿 기능 적용 하지 않음(p21)_x000a_⚪ 점검내용  점검취소 기능 제공(p22)_x000a_ - 점검 등록자만 점검취소가능_x000a_ - 이력관리 하지않고 최종 점검자만 관리_x000a_ - 점검검취소는 결재 기능 없음_x000a_⚪ RM감사역과 공유하고 싶은 경우에는 체크버튼 기능 구현하지 않음(p23) "/>
    <m/>
    <s v="감사부(본점감사)"/>
    <m/>
    <x v="0"/>
    <m/>
    <m/>
    <m/>
    <m/>
    <m/>
  </r>
  <r>
    <x v="3"/>
    <s v="본부/글로벌 상시점검"/>
    <s v="Biz-0029"/>
    <s v="점검 보고서 제공 (레포팅 툴 활용)"/>
    <x v="1"/>
    <s v="요구사항정의"/>
    <x v="0"/>
    <s v="구축요건정의서"/>
    <s v="MDD-00092"/>
    <s v="상시지적사항 관련 현황 보고서 조회"/>
    <s v="⚪ 삭제 상시 지적사항 관련 현황 보고서 조회 이미 기능 구현되어 있음(p31)_x000a_⚪ 오즈 보고서로 출력(차트 구현 여부 확인 필 - 상세 레이아웃은 추후 전달 예정)"/>
    <m/>
    <s v="감사부(본점감사)"/>
    <m/>
    <x v="0"/>
    <m/>
    <m/>
    <m/>
    <m/>
    <m/>
  </r>
  <r>
    <x v="3"/>
    <m/>
    <s v="Biz-0029"/>
    <s v="점검 보고서 제공 (레포팅 툴 활용)"/>
    <x v="1"/>
    <s v="요구사항정의"/>
    <x v="1"/>
    <s v="회의록"/>
    <s v="MDD-00093"/>
    <s v="점검결과 내용 목록 조회 보고서 출력"/>
    <s v="⚪ 점검결과 내용 조회 신규에 보고서 출력 기능은 불 필요 (페이지 없음 - p31)"/>
    <m/>
    <s v="감사부(본점감사)"/>
    <m/>
    <x v="2"/>
    <s v="1차 상시감사 업무 요구사항 회의 시 ASIS 개선사항 없음으로 협의"/>
    <m/>
    <m/>
    <s v="20241104_감사정보시스템 고도화 및 클라우드 전환 구축_상시감시.docx"/>
    <m/>
  </r>
  <r>
    <x v="3"/>
    <s v="본부상시"/>
    <s v="Biz-0030"/>
    <s v="본부상시 점검결과 등록기능 및 점거결과 조회 기능 개선"/>
    <x v="1"/>
    <s v="요구사항정의"/>
    <x v="1"/>
    <s v="구축요건정의서"/>
    <s v="MDD-00094"/>
    <s v="본부상시감사 점검 중 도출된 특이사항 또는 정보사항을 등록/관리"/>
    <s v="⚪ 점검항목의 RM공유 대상 기능 미구현으로 공유검사역 및 RM공유대상 항목 추가하지 않음(p25)"/>
    <m/>
    <s v="감사부(본점감사)"/>
    <m/>
    <x v="2"/>
    <s v="1차 상시감사 업무 요구사항 회의 시 삭제 하기로 협의"/>
    <m/>
    <m/>
    <s v="20241104_감사정보시스템 고도화 및 클라우드 전환 구축_상시감시.docx"/>
    <s v="대면"/>
  </r>
  <r>
    <x v="3"/>
    <s v="본부상시"/>
    <s v="Biz-0031"/>
    <s v="점검결과 등록기능 개선"/>
    <x v="1"/>
    <s v="요구사항정의"/>
    <x v="0"/>
    <s v="구축요건정의서"/>
    <s v="MDD-00095"/>
    <s v="상시감사 점검내역 (부점/항목) 조회"/>
    <s v="⚪ 상시점검내역(부점.항목)조회 에서 계정거래유형, 취급자 검색조건 추가및 거래일자, 대상부점을 조회 기본값으로 한다(p28)_x000a_ - 취급자를 입력하지 않은경우 대상부점의 모든 취급자를 표시한다_x000a_ - 취급자를 입력한경우 대상부점 해당 취급자의 정보만 표기된다"/>
    <m/>
    <s v="감사부(본점감사)"/>
    <m/>
    <x v="0"/>
    <m/>
    <m/>
    <m/>
    <m/>
    <s v="대면"/>
  </r>
  <r>
    <x v="3"/>
    <s v="본부상시"/>
    <s v="Biz-0031"/>
    <s v="점검결과 등록기능 개선"/>
    <x v="1"/>
    <s v="요구사항정의"/>
    <x v="0"/>
    <s v="구축요건정의서"/>
    <s v="MDD-00096"/>
    <s v="글로벌상시 항목별 점검대상 확인 및 점검 진행"/>
    <s v="⚪ 글로벌상시-점검화면에서 목록 상단에 전체선택 체크박스 제외, 개발 목록에 개별 선택 체크박스 기능 구현 하여 선택된 항목 일괄(점검 버튼) 점검 하는 기능 제공(p24)_x000a_⚪ 본부상시- 전체선택 체크박스는 제외, 개발 목록에 개별 선택 체크박스(금액 합계 표시) 기능 구현 하여 선택된 항목 일괄(점검 버튼) 점검 하는 기능 제공"/>
    <m/>
    <s v="감사부(본점감사)"/>
    <m/>
    <x v="0"/>
    <m/>
    <m/>
    <m/>
    <m/>
    <m/>
  </r>
  <r>
    <x v="3"/>
    <s v="본부상시"/>
    <s v="Biz-0031"/>
    <s v="점검결과 등록기능 개선"/>
    <x v="1"/>
    <s v="요구사항정의"/>
    <x v="1"/>
    <s v="구축요건정의서"/>
    <s v="MDD-00097"/>
    <s v="긴급점검 항목 신속지원"/>
    <s v="⚪ 좌측 트리 메뉴에 긴급항목 추가하여 클릭 시 추출된 (감사부에서 명칭 제공 예정) 항목 목록이 조회되는 기능 제공(p17)"/>
    <m/>
    <s v="감사부(본점감사)"/>
    <m/>
    <x v="2"/>
    <s v="삭제로 변경함_x000a_2024.12.20 스토리보드 리뷰_x000a_참석 :  김민정 감사역, 김병원 이사_x000a_사유 : 해당 항목의 실효성이미비하다고 판단하여 삭제하기로 함"/>
    <m/>
    <s v="2024.12.20"/>
    <m/>
    <s v="대면"/>
  </r>
  <r>
    <x v="3"/>
    <s v="본부상시"/>
    <s v="Biz-0031"/>
    <s v="점검결과 조회기능 개선"/>
    <x v="1"/>
    <s v="요구사항정의"/>
    <x v="0"/>
    <s v="구축요건정의서"/>
    <s v="MDD-00098"/>
    <s v="점검결과 내용 목 조회"/>
    <s v="⚪ 점검내용 작성한 목록만 조회 할 수 있는 기능 제공(조회 조건 - 일자(from~to), 점검자, 점검항목별 등), 출력기능 불필요"/>
    <m/>
    <s v="감사부(본점감사)"/>
    <m/>
    <x v="0"/>
    <m/>
    <m/>
    <m/>
    <m/>
    <m/>
  </r>
  <r>
    <x v="3"/>
    <s v="본부상시"/>
    <s v="Biz-0032"/>
    <s v="메시지 전송기능 강화"/>
    <x v="1"/>
    <s v="요구사항정의"/>
    <x v="1"/>
    <s v="구축요건정의서"/>
    <s v="MDD-00099"/>
    <s v="본부상시감사 점검시 발생한 메시지 수발신 내용 관리"/>
    <s v="⚪ 사유회신 메시지 전송 후 ‘미회신’ 항목(응답일시 없음)들만 별도 조회 가능하도록 검색조건 개선(p26)_x000a_⚪ 메신저 담당자(workB담당자 : 경영정보개발부 박태주수석)에 메시지 회신여부등 가능 여부 확인 후 적용 가능(IT, 개발)_x000a_   -  회신여부 가능 시 글로벌 상시도 지원 가능 여부 추가 확인필요"/>
    <m/>
    <s v="감사부(본점감사)"/>
    <m/>
    <x v="2"/>
    <s v="삭제로 변경함_x000a_2024.12.20 스토리보드 리뷰_x000a_참석 : 김민정 감사역, 김병원 이사_x000a_사유 : 메시지 전송현황에 회신 여부 기능 추가하여 개발하므로 중복 프로그램으로 삭제하기로 함"/>
    <m/>
    <s v="2024.12.20"/>
    <m/>
    <s v="대면"/>
  </r>
  <r>
    <x v="3"/>
    <s v="본부상시"/>
    <s v="Biz-0032"/>
    <s v="메시지 전송기능 강화"/>
    <x v="1"/>
    <s v="요구사항정의"/>
    <x v="0"/>
    <s v="구축요건정의서"/>
    <s v="MDD-00100"/>
    <s v="본부상시감사 메시지 전송현황 조회"/>
    <s v="⚪ 본부상시 메시전송 현황을 조회 조건 전송일자, 점검항목별로 조회 할수 있는 기능 제공(p27)_x000a_⚪ 메신저 담당자(workB담당자 : 경영정보개발부 박태주수석)에 메시지 회신여부등 가능 여부 확인 후 적용 가능(IT, 개발)"/>
    <m/>
    <s v="감사부(본점감사)"/>
    <m/>
    <x v="0"/>
    <m/>
    <m/>
    <m/>
    <m/>
    <m/>
  </r>
  <r>
    <x v="4"/>
    <s v="업무기능 개선"/>
    <s v="Biz-0033"/>
    <s v="심의/조사 업무 효율성 강화를 위한 기능 개선"/>
    <x v="1"/>
    <s v="요구사항정의"/>
    <x v="0"/>
    <s v="구축요건정의서"/>
    <s v="MDD-00101"/>
    <s v="지적사항 등록·관리"/>
    <s v="⚪ ‘추가’ 버튼 신설. 기존 입력 항목 선택 후 내용 일부 변경하여 추가 클릭 시 수정이 아니라 새로운 행으로 추가되어 지적사항으로 등록(지적사항 개별등록 개선 및 기능개선) (p134)_x000a_⚪ 지적사항 등록 화면에 추가버튼 신설, 소분류 항목에 기타 코드 및 항목 추가하여 선택 및 키워드 입력 필수 항목으로 추가(p134)_x000a_⚪ 지적사항 등록의 지적세부사항등록 탭에 당시직급, 당시 담당업무, 당시담당기간 조회해서 선택 하는 기능 개선(p135)_x000a_⚪ 지침과 과 규정, 지침등 내용, 규정 지침 및 세부내역요약 입력 시 입력 한계선을 표시(p135)"/>
    <m/>
    <s v="감사부(감사기획부)"/>
    <m/>
    <x v="0"/>
    <m/>
    <m/>
    <m/>
    <m/>
    <s v="대면"/>
  </r>
  <r>
    <x v="4"/>
    <s v="업무기능 개선"/>
    <s v="Biz-0033"/>
    <s v="심의/조사 업무 효율성 강화를 위한 기능 개선"/>
    <x v="1"/>
    <s v="요구사항정의"/>
    <x v="0"/>
    <s v="구축요건정의서"/>
    <s v="MDD-00102"/>
    <s v="지적사항 및 심의대상을 조회하고 심의내용을 등록·관리"/>
    <s v="⚪ 조회값 선택시 Auto-Refresh 기능 삭제 (항목 변경 후 조회버튼 누를 때에만 검색실행)_x000a_⚪ 조회결과 컬럼 추가 : 감사부점, 관련부점 (p136)"/>
    <m/>
    <s v="감사부(감사기획부)"/>
    <m/>
    <x v="0"/>
    <m/>
    <m/>
    <m/>
    <m/>
    <s v="대면"/>
  </r>
  <r>
    <x v="4"/>
    <s v="업무기능 개선"/>
    <s v="Biz-0033"/>
    <s v="심의/조사 업무 효율성 강화를 위한 기능 개선"/>
    <x v="1"/>
    <s v="요구사항정의"/>
    <x v="0"/>
    <s v="구축요건정의서"/>
    <s v="MDD-00103"/>
    <s v="부점별 지적사항 및 관련 귀책정보 조회"/>
    <s v="⚪ 귀책부점 내용조회에서 검색조건에 지적부점과 PG별 선택 박스 제공하여 선택별로 조회 하는 기능, 지적부점별 Sorting 기능, 조회결과 목록에 감사부점, 관련 부점, 지적확정여부 및 PG점수 항목 추가(p137)"/>
    <m/>
    <s v="감사부(감사기획부)"/>
    <m/>
    <x v="0"/>
    <m/>
    <m/>
    <m/>
    <m/>
    <s v="대면"/>
  </r>
  <r>
    <x v="4"/>
    <s v="업무기능 개선"/>
    <s v="Biz-0033"/>
    <s v="심의/조사 업무 효율성 강화를 위한 기능 개선"/>
    <x v="1"/>
    <s v="요구사항정의"/>
    <x v="0"/>
    <s v="구축요건정의서"/>
    <s v="MDD-00104"/>
    <s v="시정진행현횡 조회와 시정관리 대장 조회 통합"/>
    <s v="⚪ 감사역화면의 시정 진행현황 조회와 시정관리대장조회 화면 통합하고 검색조건 시정 진행현황 조회조건에 시정관리대장조회의 정리구분 항목 추가(p138~p139)_x000a_⚪ 통합한 시정관리 대장 조회에서 심의등록 상세보기에서 심의 완료인 경우 재심의 버튼을 추가하여 재심의 할 수 있는 기능 제공_x000a_⚪ 시정완료일이 입력되어야면 재심의 후 의결등록이 안되게 함._x000a_⚪ 재심의 저장시 정리완료일을 초기화 여부(Y/N) 메시지 출력하여 저장 하는 기능 제공(p138~p139)_x000a_⚪ 심의/조사&gt;지적사항심의&gt;본부감사지적심의&gt; 본부심의관리 조회 결과 화면에서 심의의뢰감사역, 심의완료일 항목 추가_x000a_⚪ 심의/조사&gt;지적사항심의&gt;본부감사지적심의&gt; 본부심의관리본부감사 지적심의 상세보기 팝업화면에 본부 심의완료일 항목 추가"/>
    <m/>
    <s v="감사부(감사기획부)"/>
    <m/>
    <x v="0"/>
    <m/>
    <m/>
    <m/>
    <m/>
    <s v="대면"/>
  </r>
  <r>
    <x v="4"/>
    <s v="업무기능 개선"/>
    <s v="Biz-0033"/>
    <s v="심의/조사 업무 효율성 강화를 위한 기능 개선"/>
    <x v="1"/>
    <s v="요구사항정의"/>
    <x v="0"/>
    <s v="구축요건정의서"/>
    <s v="MDD-00105"/>
    <s v="영업점/본점에서 자신에게 지적된 내용을 조회하고 사후관리를 할 수 있는 기능 제공"/>
    <s v="⚪ 감사정보시스템(부정용)의 지적사항관리 &gt; 지적사항 내역조회 &gt; 감사지적심의관리의 조회결과 사후관리등록 상세보기 팝업 화면에 지적사항 확인서보기 버튼 추가하여 지적내용 확인하는 기능 제공(지적부점용)"/>
    <m/>
    <s v="감사부(감사기획부)"/>
    <m/>
    <x v="0"/>
    <m/>
    <m/>
    <m/>
    <m/>
    <s v="대면"/>
  </r>
  <r>
    <x v="4"/>
    <s v="업무기능 개선"/>
    <s v="Biz-0033"/>
    <s v="심의/조사 업무 효율성 강화를 위한 기능 개선"/>
    <x v="1"/>
    <s v="요구사항정의"/>
    <x v="0"/>
    <s v="구축요건정의서"/>
    <s v="MDD-00106"/>
    <s v="지적부점화면의 감사지적심의관리"/>
    <s v="⚪ 감사정보시스템(부정용)의 지적사항관리 &gt; 지적사항 내역조회 &gt; 감사지적심의관리의 조회결과 사후관리등록 상세보기 팝업 화면에 지적사항 확인서보기 버튼 추가하여 지적내용 확인하는 기능 제공(지적부점용)"/>
    <m/>
    <s v="감사부(감사기획부)"/>
    <m/>
    <x v="0"/>
    <m/>
    <m/>
    <m/>
    <s v="20241112_감사정보시스템 고도화 및 클라우드 전환 구축_심의조사_2.docx"/>
    <m/>
  </r>
  <r>
    <x v="4"/>
    <s v="업무기능 개선"/>
    <s v="Biz-0033"/>
    <s v="심의/조사 업무 효율성 강화를 위한 기능 개선"/>
    <x v="1"/>
    <s v="요구사항정의"/>
    <x v="0"/>
    <s v="구축요건정의서"/>
    <s v="MDD-00107"/>
    <s v="지적사항 및 심의대상을 조회하고 심의내용을 등록·관리"/>
    <s v="⚪ 본 화면의 검색조건 및 조회결과 출력시 표시되는 컬럼정보를 ‘지적사항 심의관리’ 화면과 동일한 레이아웃으로 변경(p140)_x000a_⚪ 본부감사 심의/조사 프로세스를  영업점 심의/조사와 동일한 프로세스로 구현_x000a_⚪ 본부감사에 문의하여 결정 후 고지훈 감사역에 검토의견"/>
    <m/>
    <s v="감사부(감사기획부)"/>
    <m/>
    <x v="0"/>
    <m/>
    <m/>
    <m/>
    <m/>
    <s v="대면"/>
  </r>
  <r>
    <x v="4"/>
    <s v="업무기능 개선"/>
    <s v="Biz-0033"/>
    <s v="심의/조사 업무 효율성 강화를 위한 기능 개선"/>
    <x v="1"/>
    <s v="요구사항정의"/>
    <x v="0"/>
    <s v="구축요건정의서"/>
    <s v="MDD-00108"/>
    <s v="영업점 및 본부부서의 중요정보 보고내역 관리 (영업점에서 조회할 시 나오는 화면)"/>
    <s v="⚪ 감사정보시스템(부점용)의 주요 정보사항 보고 등록 시 정보구분이 IT장애보고 등록시 간단한 항목 입력으로 등록 가능한 기능 및 추후 금감원접수번호 입력 저장시 해당 내역이 IT장애보고조회에서 조회 결과로 표시(p142, p143)_x000a_⚪ IT장애보고의 등록은 감사정보시스템(부점용)에서만 입력 가능 하도록 구현(p142, p143)_x000a_⚪ 감사정보시스템(부점용)의 주요 정보사항 보고 정보구분에 글로벌점포 전용 항목(현지감독기관 감사착수보고, 현지감독기관 감사결과 보고 및 현지감독 관련 기타정보 보고) 추가(p142, p143)_x000a_⚪ 주요정보사항(정보구분이 IT장애보고 제외) 입력 항목 중 주요내용, 조치내용, 기타 특이사항 칸을 조정하여 발생시기 및 경위 항목이 10줄 정도 입력되어 출력 할 수있게 조정 및 첨부파일 여러개 등록 가능도록 기능 제공(p144)"/>
    <m/>
    <s v="감사부(감사기획부)"/>
    <m/>
    <x v="0"/>
    <m/>
    <m/>
    <s v="2025.01.16"/>
    <m/>
    <s v="비대면"/>
  </r>
  <r>
    <x v="4"/>
    <s v="업무기능 개선"/>
    <s v="Biz-0033"/>
    <s v="심의/조사 업무 효율성 강화를 위한 기능 개선"/>
    <x v="1"/>
    <s v="요구사항정의"/>
    <x v="0"/>
    <s v="구축요건정의서"/>
    <s v="MDD-00109"/>
    <s v="감사계획 등록 현황 조회 및 내용 수정"/>
    <s v="⚪ 감사계획 등록 (특별감사)에서 계획년도와 차수가 같은 감사계획 시 대상부점과 관련부점을 등록 기능 제공(단 대상부점 변경시에는 기존 등록한 대상부점 및 관련부점을 모두 삭제 후 재 등록해야함)(p146)"/>
    <m/>
    <s v="감사부(감사기획부)"/>
    <m/>
    <x v="0"/>
    <m/>
    <m/>
    <m/>
    <m/>
    <s v="대면"/>
  </r>
  <r>
    <x v="4"/>
    <s v="업무기능 개선"/>
    <s v="Biz-0033"/>
    <s v="심의/조사 업무 효율성 강화를 위한 기능 개선"/>
    <x v="1"/>
    <s v="요구사항정의"/>
    <x v="0"/>
    <s v="구축요건정의서"/>
    <s v="MDD-00110"/>
    <s v="특별감사 대상 목록 및 현황 조회 "/>
    <s v="⚪ 관리대장 등록시(상세팝업)시 기타체크 항목 중 금융사고 항목 체그 가능하도록 기능 제공(p147)_x000a_⚪ 특별감사 관리대장 등록시(상세팝업)의 보고서작성의 특별감사(조사)보고서 탭에 관련자 등록 방법은 입력상자에 여러개의 사번을 넣고 관련직원 일괄 등록하는 기능제공(p148)_x000a_⚪ 관련직원 선택후 팝업을 통해 기준일자 기준 발령직급 선택 가능한 팝업 기능 제공(p148)_x000a_⚪ 관련직원 선택후 상하로 우선순위를 조정하는 기능 제공(p148)_x000a_⚪ 보고서 내용 작성 시 기존 한글 1000자를 -&gt;8000자로 컬럼 크기 조정(p148)_x000a_⚪ 특별감사 관리대장 등록시(상세팝업)의 보고서작성의 심의결과 보고서 탭의 관련자는 이전 특별감사(주사)보고서의 관련자를 자동으로 세팅 하는 기능 제공(p149)"/>
    <m/>
    <s v="감사부(감사기획부)"/>
    <m/>
    <x v="0"/>
    <m/>
    <m/>
    <m/>
    <m/>
    <s v="대면"/>
  </r>
  <r>
    <x v="4"/>
    <s v="업무기능 개선"/>
    <s v="Biz-0033"/>
    <s v="심의/조사 업무 효율성 강화를 위한 기능 개선"/>
    <x v="1"/>
    <s v="요구사항정의"/>
    <x v="0"/>
    <s v="구축요건정의서"/>
    <s v="MDD-00111"/>
    <s v="금융사고 목록 및 현황 등록/조회 "/>
    <s v="⚪ 금융사고 등록 시 과거 또는 특정 사례와 연관이 있는 사고들을 별도로 관리하기 위해 ‘연관사고 등록’ 버튼 추가 및 기능개선(p150)_x000a_⚪ 조회결과 목록에 감사차수는 제외하고 연계금융사고번호만 표기(p150)"/>
    <m/>
    <s v="감사부(감사기획부)"/>
    <m/>
    <x v="0"/>
    <m/>
    <m/>
    <m/>
    <m/>
    <s v="대면"/>
  </r>
  <r>
    <x v="4"/>
    <s v="업무기능 개선"/>
    <s v="Biz-0033"/>
    <s v="심의/조사 업무 효율성 강화를 위한 기능 개선"/>
    <x v="1"/>
    <s v="요구사항정의"/>
    <x v="0"/>
    <s v="구축요건정의서"/>
    <s v="MDD-00112"/>
    <s v="국가별 RM정보 및 공통자료 관리"/>
    <s v="⚪ 특별감사 과거 자료 조회의 (구)인사위원회 자료조회(2017년도이전) 메뉴와 (구)보고서검색 메뉴 통합은 데이터가  상이해서 메뉴통합은 불가하며 한화면에서 탭으로 구현 하여 제공(p152)_x000a_⚪ (국)인사위원회 조회 결과 목록에 감사보고서 다운로드 항목 추가하여 다운로드 가능한 기능 제공(단 (구)보고서검색에서 해당 계획년도의 해당 차추의 보고서가 등록되어 있을 경우 가능함)"/>
    <m/>
    <s v="감사부(감사기획부)"/>
    <m/>
    <x v="0"/>
    <m/>
    <m/>
    <m/>
    <m/>
    <s v="대면"/>
  </r>
  <r>
    <x v="4"/>
    <s v="업무기능 개선"/>
    <s v="Biz-0034"/>
    <s v="심의의결록 보고서 작성 및 출력 지원 기능"/>
    <x v="1"/>
    <s v="요구사항정의"/>
    <x v="1"/>
    <s v="구축요건정의서"/>
    <s v="MDD-00113"/>
    <s v="감사 종류별 감사보고서를 통합하여 조회할 수 있는 화면"/>
    <s v="⚪ 심의/조사&gt; 감사보고서 관리의 하위 메뉴 통합하여 하나의 화면에서 조회(p157)_x000a_  - 구)감사보고서관리(2013.11.29이전)_x000a_  - 감사보고서관리(일반)_x000a_  - 감사보고서관리(내부통제)_x000a_  - 감사보고서관리(특별점검)_x000a_  - 감사보고서관리(부책)_x000a_⚪ 조회 컬럼은 전체 화면에 존재하는 모든 컬럼정보를 표시하되, 업무별 존재하지 않는 값은 공백으로 표시_x000a_⚪ 삭제"/>
    <m/>
    <s v="감사부(감사기획부)"/>
    <m/>
    <x v="2"/>
    <s v="삭제로 변경_x000a_참석 : 육인석감사역, 김병원이사_x000a_사유 : 요구사항정의 리뷰시 해당화면 통합하지 않기로 협의 함."/>
    <m/>
    <m/>
    <m/>
    <s v="대면"/>
  </r>
  <r>
    <x v="5"/>
    <s v="연계 데이터 입수"/>
    <s v="Biz-0035"/>
    <s v="후처리계 업무로그 실시간 수집"/>
    <x v="0"/>
    <s v="요구사항정의"/>
    <x v="0"/>
    <s v="구축요건정의서"/>
    <s v="MDD-00114"/>
    <s v="후처리계 업무로그 실시간 수집"/>
    <s v="ㅇ 후처리 로그가 15개로 분리되어 있어 15개 프로세스 또는 스레드로 병렬 처리"/>
    <m/>
    <s v="시스템운영팀"/>
    <m/>
    <x v="0"/>
    <m/>
    <m/>
    <m/>
    <m/>
    <m/>
  </r>
  <r>
    <x v="5"/>
    <s v="연계 데이터 입수"/>
    <s v="Biz-0036"/>
    <s v="국외점포 거래로그 수집 "/>
    <x v="0"/>
    <s v="요구사항정의"/>
    <x v="0"/>
    <s v="구축요건정의서"/>
    <s v="MDD-00115"/>
    <s v="국외점포 거래로그 수집 "/>
    <s v="ㅇ대상 : 3개 ROC - 뉴욕, 오세아니아 센터, 여의도 국외업무서버_x000a_ㅇ JDBC로 직접 데이터에 접근하여 수집"/>
    <m/>
    <s v="시스템운영팀"/>
    <m/>
    <x v="0"/>
    <m/>
    <m/>
    <m/>
    <m/>
    <m/>
  </r>
  <r>
    <x v="5"/>
    <s v="연계 데이터 입수"/>
    <s v="Biz-0037"/>
    <s v="본부/글로벌 상시감사 및 RAS분석을 위한 기반자료"/>
    <x v="0"/>
    <s v="요구사항정의"/>
    <x v="0"/>
    <s v="구축요건정의서"/>
    <s v="MDD-00116"/>
    <s v="본부/글로벌 상시감사 및 RAS분석을 위한 기반자료"/>
    <s v="ㅇ 상품처리계, EDW, 정보계, 기타 독립시스템_x000a_ㅇ RULE요건에 따라 수집 대상은 추가될 수 있음"/>
    <m/>
    <s v="시스템운영팀"/>
    <m/>
    <x v="0"/>
    <m/>
    <m/>
    <m/>
    <m/>
    <m/>
  </r>
  <r>
    <x v="5"/>
    <s v="대시보드 개발"/>
    <s v="Biz-0038"/>
    <s v="지역별, 영업점별 전반적인 위험 수준을 파악할 수 있도록 감사/진행 현황 시각화"/>
    <x v="1"/>
    <s v="요구사항정의"/>
    <x v="0"/>
    <s v="구축요건정의서"/>
    <s v="MDD-00117"/>
    <s v="지역별, 영업점별 전반적인 위험 수준을 파악할 수 있도록 감사/진행 현황 시각화"/>
    <s v="ㅇ 영업감사, 본부감사 및 심의조서에게 기능 제공"/>
    <m/>
    <s v="감사부(영업감사)_x000a_감사부(본점감사)_x000a_감사부(감사기획부)"/>
    <m/>
    <x v="0"/>
    <m/>
    <m/>
    <m/>
    <m/>
    <m/>
  </r>
  <r>
    <x v="5"/>
    <s v="대시보드 개발"/>
    <s v="Biz-0039"/>
    <s v="업무 수행 및 평가 관련 현황 대시보드 개발"/>
    <x v="1"/>
    <s v="요구사항정의"/>
    <x v="0"/>
    <s v="구축요건정의서"/>
    <s v="MDD-00118"/>
    <s v="업무 수행 및 평가 관련 현황 대시보드 개발"/>
    <s v="ㅇ 영업감사, 본부감사 및 심의조서에게 기능 제공"/>
    <m/>
    <s v="감사부(영업감사)_x000a_감사부(본점감사)_x000a_감사부(감사기획부)"/>
    <m/>
    <x v="0"/>
    <m/>
    <m/>
    <m/>
    <m/>
    <m/>
  </r>
  <r>
    <x v="5"/>
    <s v="대시보드 개발"/>
    <s v="Biz-0040"/>
    <s v="진행중 감사, 연간 지적사항 및 이행관리 현황, 감사관련 평가 제공"/>
    <x v="1"/>
    <s v="요구사항정의"/>
    <x v="0"/>
    <s v="구축요건정의서"/>
    <s v="MDD-00119"/>
    <s v="진행중 감사, 연간 지적사항 및 이행관리 현황, 감사관련 평가 제공"/>
    <s v="ㅇ 영업감사, 본부감사 및 심의조서에게 기능 제공"/>
    <m/>
    <s v="감사부(영업감사)_x000a_감사부(본점감사)_x000a_감사부(감사기획부)"/>
    <m/>
    <x v="0"/>
    <m/>
    <m/>
    <m/>
    <m/>
    <m/>
  </r>
  <r>
    <x v="6"/>
    <s v="감사마트 구축"/>
    <s v="Biz-0041"/>
    <s v="감사데이터 수집 및 활용 효율성 강화를 위한 감사마트 구축"/>
    <x v="1"/>
    <s v="요구사항정의"/>
    <x v="1"/>
    <s v="구축요건정의서"/>
    <s v="MDD-00120"/>
    <s v="수신 계좌정보 명세 조회 기능 제공"/>
    <s v="⚪ 수신계좌정보 관련 정보를 연계하여 마트를 구성한 후 관련 내용을 화면에서 조회할 수 있도록 함"/>
    <m/>
    <s v="감사부(디지털감사)"/>
    <m/>
    <x v="2"/>
    <s v="삭제로 변경_x000a_임태운 감사역, 강성훈 감사역_x000a_감사마트 업무 요구사항 회의 시 수신계좌정보의 적재가 데이터양에 비해 활용도가 미비하여 삭제 하기로 협의"/>
    <m/>
    <m/>
    <s v="20241105_회의록_감사정보시스템 고도화 및 클라우드 전환 재구축_감사마트.docx"/>
    <s v="대면"/>
  </r>
  <r>
    <x v="6"/>
    <s v="감사마트 구축"/>
    <s v="Biz-0041"/>
    <s v="감사데이터 수집 및 활용 효율성 강화를 위한 감사마트 구축"/>
    <x v="1"/>
    <s v="요구사항정의"/>
    <x v="0"/>
    <s v="구축요건정의서"/>
    <s v="MDD-00121"/>
    <s v="클라우드 개발 관련 정보 조회 (Jira 연계)"/>
    <s v="⚪ 클라우드 개발 관련 정보를 Jira와 연계하여 마트를 구성한 후 관련 내용을 화면에서 조회할 수 있도록 함(p162)_x000a_⚪ 화면 조회용 컬럼은 마트 구성컬럼 중 선택하여 변경가능"/>
    <m/>
    <s v="감사부(디지털감사)"/>
    <m/>
    <x v="0"/>
    <m/>
    <m/>
    <m/>
    <m/>
    <s v="대면"/>
  </r>
  <r>
    <x v="6"/>
    <s v="감사마트 구축"/>
    <s v="Biz-0041"/>
    <s v="감사데이터 수집 및 활용 효율성 강화를 위한 감사마트 구축"/>
    <x v="1"/>
    <s v="요구사항정의"/>
    <x v="0"/>
    <s v="구축요건정의서"/>
    <s v="MDD-00122"/>
    <s v="회계결산 내역 조회 (경영정보시스템 연계)"/>
    <s v="⚪ 회계결산 내역을 경영정보시스템과 연계하여 마트를 구성한 후 관련 내용을 화면에서 조회할 수 있도록 함(p163)_x000a_⚪ 본 화면은 원천시스템인 경영정보시스템&gt;결산후재무제표 조회시 나오는 화면과 동일한 형식과 데이터가 동일하게 조회될 수 있도록 구성 _x000a_   (단 재무제표는 확정/공시 완료된 대상만 조회가능)"/>
    <m/>
    <s v="감사부(디지털감사)"/>
    <m/>
    <x v="0"/>
    <m/>
    <m/>
    <m/>
    <m/>
    <s v="대면"/>
  </r>
  <r>
    <x v="6"/>
    <s v="감사마트 구축"/>
    <s v="Biz-0041"/>
    <s v="감사데이터 수집 및 활용 효율성 강화를 위한 감사마트 구축"/>
    <x v="1"/>
    <s v="요구사항정의"/>
    <x v="0"/>
    <s v="구축요건정의서"/>
    <s v="MDD-00123"/>
    <s v="IQMS 등록정보 조회 (IQMS 연계)"/>
    <s v="⚪ IQMS등록 정보를 연계하여 마트를 구성한 후 관련 내용을 화면에서 조회할 수 있도록 함(p164)_x000a_⚪ 화면 조회용 컬럼은 마트 구성컬럼 중 선택하여 변경가능"/>
    <m/>
    <s v="감사부(디지털감사)"/>
    <m/>
    <x v="0"/>
    <m/>
    <m/>
    <m/>
    <m/>
    <s v="대면"/>
  </r>
  <r>
    <x v="6"/>
    <s v="감사마트 구축"/>
    <s v="Biz-0041"/>
    <s v="감사데이터 수집 및 활용 효율성 강화를 위한 감사마트 구축"/>
    <x v="1"/>
    <s v="요구사항정의"/>
    <x v="0"/>
    <s v="구축요건정의서"/>
    <s v="MDD-00124"/>
    <s v="결재감사 정보 조회 (Wise-Net 연계)"/>
    <s v="⚪ 결재감사 관련 화면 데이터를 Wise-Net과 연계하여 마트를 구성하고, 관련 내용을 화면에서 조회할 수 있도록 함(p165)_x000a_⚪ 업무구분 : 결재완료문서, 최근수신문서, 대외접수문서, 대외발송문서 총 4개로 구분되며 각 마트정의 테이블에 맞춰 화면내 조회컬럼 생성_x000a_   (Ex. 결재완료문서 &gt; 최근수신문서 변경 시 하단 조회 컬럼(③) 항목들도 요건에 맞춰 동적변동"/>
    <m/>
    <s v="감사부(디지털감사)"/>
    <m/>
    <x v="0"/>
    <m/>
    <m/>
    <m/>
    <m/>
    <s v="대면"/>
  </r>
  <r>
    <x v="6"/>
    <s v="감사마트 구축"/>
    <s v="Biz-0041"/>
    <s v="감사데이터 수집 및 활용 효율성 강화를 위한 감사마트 구축"/>
    <x v="1"/>
    <s v="요구사항정의"/>
    <x v="0"/>
    <s v="구축요건정의서"/>
    <s v="MDD-00125"/>
    <s v="IT물품계약 정보 조회 (경영정보시스템 연계)"/>
    <s v="⚪ IT물품계약 관련 정보를 연계하여 마트를 구성하고, 관련 내용을 화면에서 조회할 수 있도록 함(p166)_x000a_⚪ 마트구성 관련 세부내용은 별첨자료(감사마트) 참조하되 조회화면의 기본 데이터 레이아웃은 ‘구매관리시스템-담당IT계약조회’ 화면에서 _x000a_   표시되는 전체 항목들을 본화면에서 선별하여 볼 수 있도록 개발"/>
    <m/>
    <s v="감사부(디지털감사)"/>
    <m/>
    <x v="0"/>
    <m/>
    <m/>
    <m/>
    <m/>
    <s v="대면"/>
  </r>
  <r>
    <x v="6"/>
    <s v="감사마트 구축"/>
    <s v="Biz-0042"/>
    <s v="감사마트 사용자 분석환경 "/>
    <x v="1"/>
    <s v="요구사항정의"/>
    <x v="0"/>
    <s v="구축요건정의서"/>
    <s v="MDD-00126"/>
    <s v="마트 내 데이터를 화면에서 직접 조회할 수 있는 기능 제공 (SQL 수행)"/>
    <s v="⚪ 테이블 정보, 컬럼정보, 테이블 정의 및 테이블의 원천정보를 관리 할 수 있는 기능 제공_x000a_⚪ 해당 테이블의 예제 SQL을 저장 할 수 있는 기능 제공_x000a_⚪ 첨부파일로 업로드 기능"/>
    <m/>
    <s v="감사부(디지털감사)"/>
    <m/>
    <x v="0"/>
    <m/>
    <m/>
    <m/>
    <m/>
    <s v="대면"/>
  </r>
  <r>
    <x v="6"/>
    <s v="감사마트 구축"/>
    <s v="Biz-0042"/>
    <s v="감사마트 사용자 분석환경 "/>
    <x v="1"/>
    <s v="요구사항정의"/>
    <x v="1"/>
    <s v="구축요건정의서"/>
    <s v="MDD-00127"/>
    <s v="마트 내 데이터를 화면에서 직접 조회할 수 있는 기능 제공 (SQL 수행)"/>
    <s v="⚪ 감사마트에 적재된 데이터를 화면에서 직접 조회할 수 있도록 기능 제공 -&gt; 화면에서 직접 SQL 쿼리 실행 및 결과 조회 가능(페이지)_x000a_⚪ KB금융그룹 전산시스템 운용 방침에 따라서 기능 제공 여부 결정"/>
    <m/>
    <s v="감사부(디지털감사)"/>
    <m/>
    <x v="2"/>
    <s v="삭제로 변경_x000a_임태운 감사역, 강성훈 감사역_x000a_요구사항명세서 리뷰 시 KB금융그룹 전산 운영방침상 불가하여 오렌지(DB툴) 사용하기로 협의"/>
    <m/>
    <m/>
    <m/>
    <m/>
  </r>
  <r>
    <x v="6"/>
    <s v="GRC체계 고도화"/>
    <s v="Biz-0043"/>
    <s v="외부규제 변경 및 내부 규정(지침) 변경에 대한 일원화 된 내부통제 리스크 관리체계를 구축"/>
    <x v="1"/>
    <s v="요구사항정의"/>
    <x v="0"/>
    <s v="구축요건정의서"/>
    <s v="MDD-00128"/>
    <s v="외부기관 또는 금융당국의 보도자료를 RPA를 통해 내부로 반입하여 조회할 수 있는 기능 제공"/>
    <s v="⚪ P.A.I로 반입하는 자료의 첨부파일 본문내용을 발췌하여 요약내용에 본문내용이 표시될 수 있도록 기능 추가(p156)_x000a_⚪ KB은행 RPA솔루션 활용 하여 본문내용 및 첨부파일의 내용을 텍스트로 입력 할 수 있는 기능 확인"/>
    <m/>
    <s v="감사부(디지털감사)"/>
    <m/>
    <x v="0"/>
    <m/>
    <m/>
    <m/>
    <m/>
    <s v="대면"/>
  </r>
  <r>
    <x v="6"/>
    <s v="GRC체계 고도화"/>
    <s v="Biz-0043"/>
    <s v="외부규제 변경 및 내부 규정(지침) 변경에 대한 일원화 된 내부통제 리스크 관리체계를 구축"/>
    <x v="1"/>
    <s v="요구사항정의"/>
    <x v="0"/>
    <s v="구축요건정의서"/>
    <s v="MDD-00129"/>
    <s v="그룹 법령관리 시스템과 비즈플렛폼, Wise-net을 연계하여 내·외규변경사항과 조치계획을 조회할 수 있는 기능 제공"/>
    <s v="⚪ 내·외규관련 정보를 각 시스템에서 연계하여 조회 가능(p169~p171)_x000a_   - 그룹법령통지시스템/비즈플렛폼 인터페이스를 통해 외규명, 구분, 조치계획, 담당자정보, 등록일자 정보 등록_x000a_   - Wise-net연계하여 내규정보 등록 (신규 변경된 것만 가져옴)_x000a_⚪ 구분 첫 항목은 전체/내규/외규로 분류되며, 내규/외규 선택에 따라 구분값과 세부항목이 변경됨_x000a_⚪ 내/외규 구분에 따라 화면에 표시되는 정보가 달라지도록 기능 제공_x000a_⚪ 내/외규목록 관리의 GRC시스템 추가협의 필요"/>
    <m/>
    <s v="감사부(디지털감사)"/>
    <m/>
    <x v="0"/>
    <m/>
    <m/>
    <m/>
    <m/>
    <s v="대면"/>
  </r>
  <r>
    <x v="6"/>
    <s v="Knowledge DB_x000a_구축 및 검색_x000a_"/>
    <s v="Biz-0044"/>
    <s v="감사지적사항, 내규, 외규, 감독원 지적사항 사례 등 데이터 수집을 통해 Knowledge 접근 체계 구축 및 통합검색 기능 제공"/>
    <x v="1"/>
    <s v="요구사항정의"/>
    <x v="0"/>
    <s v="구축요건정의서"/>
    <s v="MDD-00130"/>
    <s v="등록된 지적사항 keyword로 관련정보를 조회할 수 있는 기능 제공"/>
    <s v="⚪ Knowledge검색 기능을 제공하는 신규화면 – 본 내용은 실제 개발  상황에 맞춰 Tab항목 및 조회조건 변동 가능(p172~p174)_x000a_⚪ 내부적으로 구성된 검색DB안에서 조회 키워드로 검색된 대상들을 분류하여 각 Tab에서 조회할 수 있도록 기능 제공_x000a_⚪ 각 Tab 분류에 맞춰 하단에 목록으로 조회대상이 표시되며, 각 내용 클릭시 세부내용 조회 가능 (화면예시 : 감사지적사항)_x000a_   - 외규, 내규 -&gt; 키워드 존재할경우 지원 아니면 DB like 검색_x000a_   - 감사지적사항과 감사결과보고서 저장시 키워드 필수 항목으로 지정하여 입력 하도록 유도(영업감사, 본부감사.심의/조사 업무 협의 설명)_x000a_   - 금융사고, 감독원지적사례, 법령해석은 은행 KB RPA솔루션 활용 가능_x000a_⚪ 금융감독원 법령정보 관련 내용을 감사정보시스템에 적재(RAP활용)한 후 검색 키워드가 ‘질의요지’, ‘회답’, ‘이유’에 들어가 있는 경우 해당 _x000a_   항목을 화면에서 조회할 수 있도록 기능 제공_x000a_⚪ 해당 정보는 금융규제·법령해석포털(better.fsc.go.kr) 의 법령해석/비조치의견서 메뉴 &gt; 회신사례 &gt; 최근회신사례 에서 RPA로 관련내용_x000a_   가져올 수 있도록 함_x000a_⚪ RPA 수집시 본문내용 및 첨부파일의 내용도 텍스트 파일로 저장하는 기능 가능하다고 시스템운영팀에서 전달_x000a_⚪ 분류 삭제_x000a_⚪ 키워드검색 또는 본문(LIKE)검색 선택 항목 추가_x000a_⚪ 키워드 3개는 default, 2개 선택"/>
    <m/>
    <s v="감사부(디지털감사)"/>
    <m/>
    <x v="0"/>
    <m/>
    <m/>
    <m/>
    <m/>
    <s v="대면"/>
  </r>
  <r>
    <x v="5"/>
    <s v="시스템연계"/>
    <s v="Biz-0045"/>
    <s v="준법지원시스템과 데이터 연계 및 공유"/>
    <x v="1"/>
    <s v="요구사항정의"/>
    <x v="0"/>
    <s v="구축요건정의서"/>
    <s v="MDD-00131"/>
    <s v="준법지원시스템과 데이터 연계 및 공유"/>
    <s v="⚪ 디지털 내부통제 점검기능 강화 업무 구축을 위한 준법지원시스템과의 데이터 연계"/>
    <m/>
    <s v="감사부(디지털감사)"/>
    <m/>
    <x v="0"/>
    <m/>
    <m/>
    <m/>
    <m/>
    <m/>
  </r>
  <r>
    <x v="5"/>
    <s v="권한관리 기능 강화"/>
    <s v="Biz-0046"/>
    <s v="사용자 그룹별 권한 관리 기능 적용"/>
    <x v="1"/>
    <s v="요구사항정의"/>
    <x v="0"/>
    <s v="구축요건정의서"/>
    <s v="MDD-00132"/>
    <s v="사용자 그룹별 권한 관리 기능 적용"/>
    <s v="⚪ 사용자 그룹관리, 그룹별 사용자 관리기능 제공_x000a_⚪ 사용자 그룹별 접근 가능 메뉴/기능 관리_x000a_ㅇ 문서 암호화 Solution 도입 및 접근 제어 기능"/>
    <m/>
    <s v="시스템운영팀"/>
    <m/>
    <x v="0"/>
    <m/>
    <m/>
    <m/>
    <m/>
    <m/>
  </r>
  <r>
    <x v="5"/>
    <s v="배치JOB 관리 개선"/>
    <s v="Biz-0047"/>
    <s v="배치JOB 관리"/>
    <x v="1"/>
    <s v="요구사항정의"/>
    <x v="0"/>
    <s v="구축요건정의서"/>
    <s v="MDD-00133"/>
    <s v="배치JOB 관리"/>
    <s v="⚪ 배치JOB 스케줄링_x000a_⚪ 배치 수행 현황 모니터링_x000a_⚪ 배치 재 수행 즉시 실행 방안 구현"/>
    <m/>
    <s v="시스템운영팀"/>
    <m/>
    <x v="0"/>
    <m/>
    <m/>
    <m/>
    <m/>
    <m/>
  </r>
  <r>
    <x v="5"/>
    <s v="변경관리 강화"/>
    <s v="Biz-0048"/>
    <s v="변경관리 강화"/>
    <x v="1"/>
    <s v="요구사항정의"/>
    <x v="0"/>
    <s v="구축요건정의서"/>
    <s v="MDD-00134"/>
    <s v="변경관리 강화"/>
    <s v="⚪ 본 시스템의 프로그램 및 기능 변경 요청, 승인, 개발, 테스트, 테스트결과 등록, 적용 등을 관리하는 기능을 적절한 내부통제를 _x000a_   통하여 제공_x000a_⚪ 배포 프로그램 목록 자동 입력 기능 제공"/>
    <m/>
    <s v="시스템운영팀"/>
    <m/>
    <x v="0"/>
    <m/>
    <m/>
    <m/>
    <m/>
    <m/>
  </r>
  <r>
    <x v="5"/>
    <s v="로그관리"/>
    <s v="Biz-0049"/>
    <s v="접속 및 활용 로그 관리 기능 필요 "/>
    <x v="1"/>
    <s v="요구사항정의"/>
    <x v="0"/>
    <s v="구축요건정의서"/>
    <s v="MDD-00135"/>
    <s v="접속 및 활용 로그 관리 기능 필요 "/>
    <s v="⚪ 로그 활용 할 수 있는 화면 구현(현재 일부 업무 적재 중(RAS, 상시점검)_x000a_⚪ 상시모니터링 점검 시간을 각 시나리오(지표)별, 감사역별, 업무별로 구분할 수 있도록 로그 관리"/>
    <m/>
    <s v="시스템운영팀"/>
    <m/>
    <x v="0"/>
    <m/>
    <m/>
    <m/>
    <m/>
    <m/>
  </r>
  <r>
    <x v="6"/>
    <s v="감사지원 기타"/>
    <s v="Biz-0050"/>
    <s v="사업년도별 추진과제 분류코드(대, 중, 소) 입력 기능 제공"/>
    <x v="1"/>
    <s v="요구사항정의"/>
    <x v="0"/>
    <s v="회의록"/>
    <s v="MDD-00136"/>
    <s v="추진과제별 실적 등록"/>
    <s v="⚪ 추진실적관리&gt;추진실적관리의 추진과제별 실적 등록 화면 레이아웃 변경(레이아웃 감사부에서 전달 예정)"/>
    <m/>
    <s v="감사부(디지털감사)"/>
    <m/>
    <x v="0"/>
    <m/>
    <m/>
    <m/>
    <m/>
    <s v="대면"/>
  </r>
  <r>
    <x v="6"/>
    <s v="감사지원 기타"/>
    <s v="Biz-0051"/>
    <s v="일반 개선/정보사항 등록 및 관리 기능 제공 "/>
    <x v="1"/>
    <s v="요구사항정의"/>
    <x v="0"/>
    <s v="회의록"/>
    <s v="MDD-00137"/>
    <s v="일반 개선/정보사항 등록 및 관리 기능 제공 "/>
    <s v="⚪ 감사정보지원&gt;정보관리&gt;일반 개선/정보사항관리&gt; 일반 개선/정보사항 등록메뉴에서 팀장 결재 시 출력되는 Pop-up 화면 문구 수정(문구는 현업 담당자가 협의 후 수정)(p159)"/>
    <m/>
    <s v="감사부(디지털감사)"/>
    <m/>
    <x v="0"/>
    <m/>
    <m/>
    <m/>
    <m/>
    <s v="대면"/>
  </r>
  <r>
    <x v="6"/>
    <s v="감사지원 기타"/>
    <s v="Biz-0052"/>
    <s v="감사역 인적사항 정보 등록 및 관리"/>
    <x v="1"/>
    <s v="요구사항정의"/>
    <x v="0"/>
    <s v="회의록"/>
    <s v="MDD-00138"/>
    <s v="감사역 인적사항 정보 등록 및 관리"/>
    <s v="⚪ 감사정보지원&gt;정보관리&gt;감사역정보관리&gt;인적사항등록 메뉴의 인적사항목록탭에 검색 조건에 ‘성명’ 조건 추가(p160)"/>
    <m/>
    <s v="감사부(디지털감사)"/>
    <m/>
    <x v="0"/>
    <m/>
    <m/>
    <m/>
    <m/>
    <s v="대면"/>
  </r>
  <r>
    <x v="6"/>
    <s v="감사지원 기타"/>
    <s v="Biz-0053"/>
    <s v="감사문서 열람률 관리"/>
    <x v="1"/>
    <s v="요구사항정의"/>
    <x v="0"/>
    <s v="회의록"/>
    <s v="MDD-00139"/>
    <s v="감사관련 전행 통보문서의 부서별 열람률을 관리하고 열람 저조 부점 독려를 위한 알림 기능 제공"/>
    <s v="⚪ Wise-Net 전자결재 완료 문서(감사관련)와 부서별(본부, 영업점 전체) 열람률을 연계하여 조회기능 제공 / 조회조건 입력시 _x000a_     조건값에 맞는 정보만 화면에 출력(P168)_x000a_⚪ 조회결과는 전행기준으로 1차 표시되며, 각 문서 클릭시 문서별 세부내역(부서별) 조회 가능_x000a_⚪ 완료일자 기준 3영업일 이후 열람률 100% 미달 부서들은 완료일자 기준 3영업일까지 각 부서에 workB 쪽지로 문서독려알림 _x000a_    전송(알림전송대상 : 부점장, 내부통제책임자, 미열람직원 본인)_x000a_⚪ 감사문서열람률관리의 열람율, 통보문서 상세보기 링크, 통보문서 열람 부서목록, 읽음여부 등 Wise-Net과 협의 하여 구현 가능_x000a_    여부 확인 필요"/>
    <m/>
    <s v="감사부(디지털감사)"/>
    <m/>
    <x v="0"/>
    <m/>
    <m/>
    <m/>
    <m/>
    <s v="대면"/>
  </r>
  <r>
    <x v="6"/>
    <s v="감사지원 기타"/>
    <s v="Biz-0054"/>
    <s v="기타"/>
    <x v="1"/>
    <s v="요구사항정의"/>
    <x v="1"/>
    <s v="회의록"/>
    <s v="MDD-00140"/>
    <s v="대외검사 수검시 관련 정보 및 검사서 관리 기능 제공"/>
    <s v="⚪ 공개여부 컬럼 신설:검사서 등록 시 공개여부를 선택할 수 있으며, 공개여부 Y 대상은 검사서 내용을 일반검사역도 조회 가능_x000a_   (Y로 선택된 경우 최종검사서 접수일 기준 지정기간 이후 공개)(p155)_x000a_   - 최초등록 시 Default : N_x000a_   - 기획반에서 공개가능대상 선정하여 Y로 변경_x000a_⚪ 검사서 사전등록 관리 팝업 화면에서 확정된 검사서 입력시 기획반에서 ‘공개여부’, ‘공개시점’을 선택하여 관리할 수 있도록 기능 제공_x000a_   - 공개시점 Default : 3개월 후(알림문구에 건수 표시)_x000a_⚪ 공개여부 접근권한은 감사부의 대외관리 팀과 모든 감사역으로 구분함_x000a_⚪ 영구비공개, 비공개, 공개"/>
    <m/>
    <s v="감사부(디지털감사)"/>
    <m/>
    <x v="2"/>
    <s v="삭제로 변경함_x000a_임태운 감사역_x000a_사유 : 해당 팀에서 문서 공개에 대한 거부감으로 공개하지 않기로하여 해당 목록을 개발에세 제외하기로 함"/>
    <m/>
    <m/>
    <m/>
    <s v="대면"/>
  </r>
  <r>
    <x v="6"/>
    <s v="감사지원 기타"/>
    <s v="Biz-0055"/>
    <s v="긴급점검 현황"/>
    <x v="1"/>
    <s v="요구사항정의"/>
    <x v="1"/>
    <s v="구축요건정의서"/>
    <s v="MDD-00141"/>
    <s v="통합상시 신규시나리오 중 긴급점검(금융사고 시나리오)대상 발생 시 관련 현황을 연계하여 조회하는 기능 제공 "/>
    <s v="⚪ 통합상시 점검시 긴급점검이 발생 한 경우 실시간으로 데이터 연계 또는 테이블 권한 부여 후 긴급점검 현황을 조회 할 수 있는 기능(p180)"/>
    <m/>
    <s v="감사부(본점감사)"/>
    <m/>
    <x v="2"/>
    <s v="삭제로 변경함._x000a_김민정 감사역_x000a_요구사항명세서 리뷰 시 본부상시와는 해당 기능 불필요해 기능 삭제하기로 협의"/>
    <m/>
    <m/>
    <m/>
    <s v="대면"/>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1" cacheId="0"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rowHeaderCaption="업무" colHeaderCaption="승인상태">
  <location ref="A3:E12" firstHeaderRow="1" firstDataRow="2" firstDataCol="1"/>
  <pivotFields count="20">
    <pivotField axis="axisRow" dataField="1" showAll="0">
      <items count="12">
        <item m="1" x="8"/>
        <item x="0"/>
        <item x="1"/>
        <item x="2"/>
        <item m="1" x="7"/>
        <item m="1" x="9"/>
        <item m="1" x="10"/>
        <item x="3"/>
        <item x="4"/>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defaultSubtotal="0">
      <items count="6">
        <item m="1" x="5"/>
        <item m="1" x="4"/>
        <item m="1" x="3"/>
        <item x="0"/>
        <item x="1"/>
        <item x="2"/>
      </items>
    </pivotField>
    <pivotField showAll="0"/>
    <pivotField showAll="0"/>
    <pivotField showAll="0"/>
    <pivotField showAll="0"/>
    <pivotField showAll="0"/>
  </pivotFields>
  <rowFields count="1">
    <field x="0"/>
  </rowFields>
  <rowItems count="8">
    <i>
      <x v="1"/>
    </i>
    <i>
      <x v="2"/>
    </i>
    <i>
      <x v="3"/>
    </i>
    <i>
      <x v="7"/>
    </i>
    <i>
      <x v="8"/>
    </i>
    <i>
      <x v="9"/>
    </i>
    <i>
      <x v="10"/>
    </i>
    <i t="grand">
      <x/>
    </i>
  </rowItems>
  <colFields count="1">
    <field x="14"/>
  </colFields>
  <colItems count="4">
    <i>
      <x v="3"/>
    </i>
    <i>
      <x v="4"/>
    </i>
    <i>
      <x v="5"/>
    </i>
    <i t="grand">
      <x/>
    </i>
  </colItems>
  <dataFields count="1">
    <dataField name="개수 : 업무" fld="0" subtotal="count" baseField="0" baseItem="0"/>
  </dataFields>
  <formats count="47">
    <format dxfId="263">
      <pivotArea collapsedLevelsAreSubtotals="1" fieldPosition="0">
        <references count="1">
          <reference field="0" count="2">
            <x v="6"/>
            <x v="10"/>
          </reference>
        </references>
      </pivotArea>
    </format>
    <format dxfId="262">
      <pivotArea dataOnly="0" labelOnly="1" fieldPosition="0">
        <references count="1">
          <reference field="0" count="2">
            <x v="6"/>
            <x v="10"/>
          </reference>
        </references>
      </pivotArea>
    </format>
    <format dxfId="261">
      <pivotArea dataOnly="0" labelOnly="1" grandCol="1" outline="0" fieldPosition="0"/>
    </format>
    <format dxfId="260">
      <pivotArea field="0" type="button" dataOnly="0" labelOnly="1" outline="0" axis="axisRow" fieldPosition="0"/>
    </format>
    <format dxfId="259">
      <pivotArea dataOnly="0" labelOnly="1" grandCol="1" outline="0" fieldPosition="0"/>
    </format>
    <format dxfId="258">
      <pivotArea field="0" type="button" dataOnly="0" labelOnly="1" outline="0" axis="axisRow" fieldPosition="0"/>
    </format>
    <format dxfId="257">
      <pivotArea collapsedLevelsAreSubtotals="1" fieldPosition="0">
        <references count="1">
          <reference field="0" count="2">
            <x v="4"/>
            <x v="5"/>
          </reference>
        </references>
      </pivotArea>
    </format>
    <format dxfId="256">
      <pivotArea dataOnly="0" labelOnly="1" fieldPosition="0">
        <references count="1">
          <reference field="0" count="2">
            <x v="4"/>
            <x v="5"/>
          </reference>
        </references>
      </pivotArea>
    </format>
    <format dxfId="255">
      <pivotArea collapsedLevelsAreSubtotals="1" fieldPosition="0">
        <references count="1">
          <reference field="0" count="5">
            <x v="4"/>
            <x v="5"/>
            <x v="6"/>
            <x v="9"/>
            <x v="10"/>
          </reference>
        </references>
      </pivotArea>
    </format>
    <format dxfId="254">
      <pivotArea dataOnly="0" labelOnly="1" fieldPosition="0">
        <references count="1">
          <reference field="0" count="5">
            <x v="4"/>
            <x v="5"/>
            <x v="6"/>
            <x v="9"/>
            <x v="10"/>
          </reference>
        </references>
      </pivotArea>
    </format>
    <format dxfId="253">
      <pivotArea type="all" dataOnly="0" outline="0" fieldPosition="0"/>
    </format>
    <format dxfId="252">
      <pivotArea outline="0" collapsedLevelsAreSubtotals="1" fieldPosition="0"/>
    </format>
    <format dxfId="251">
      <pivotArea type="origin" dataOnly="0" labelOnly="1" outline="0" fieldPosition="0"/>
    </format>
    <format dxfId="250">
      <pivotArea type="topRight" dataOnly="0" labelOnly="1" outline="0" fieldPosition="0"/>
    </format>
    <format dxfId="249">
      <pivotArea field="0" type="button" dataOnly="0" labelOnly="1" outline="0" axis="axisRow" fieldPosition="0"/>
    </format>
    <format dxfId="248">
      <pivotArea dataOnly="0" labelOnly="1" fieldPosition="0">
        <references count="1">
          <reference field="0" count="0"/>
        </references>
      </pivotArea>
    </format>
    <format dxfId="247">
      <pivotArea dataOnly="0" labelOnly="1" grandRow="1" outline="0" fieldPosition="0"/>
    </format>
    <format dxfId="246">
      <pivotArea dataOnly="0" labelOnly="1" grandCol="1" outline="0" fieldPosition="0"/>
    </format>
    <format dxfId="245">
      <pivotArea outline="0" collapsedLevelsAreSubtotals="1" fieldPosition="0"/>
    </format>
    <format dxfId="244">
      <pivotArea type="topRight" dataOnly="0" labelOnly="1" outline="0" fieldPosition="0"/>
    </format>
    <format dxfId="243">
      <pivotArea dataOnly="0" labelOnly="1" grandCol="1" outline="0" fieldPosition="0"/>
    </format>
    <format dxfId="242">
      <pivotArea collapsedLevelsAreSubtotals="1" fieldPosition="0">
        <references count="1">
          <reference field="0" count="2">
            <x v="9"/>
            <x v="10"/>
          </reference>
        </references>
      </pivotArea>
    </format>
    <format dxfId="241">
      <pivotArea dataOnly="0" labelOnly="1" fieldPosition="0">
        <references count="1">
          <reference field="0" count="2">
            <x v="9"/>
            <x v="10"/>
          </reference>
        </references>
      </pivotArea>
    </format>
    <format dxfId="240">
      <pivotArea outline="0" collapsedLevelsAreSubtotals="1" fieldPosition="0"/>
    </format>
    <format dxfId="239">
      <pivotArea field="14" type="button" dataOnly="0" labelOnly="1" outline="0" axis="axisCol" fieldPosition="0"/>
    </format>
    <format dxfId="238">
      <pivotArea type="topRight" dataOnly="0" labelOnly="1" outline="0" fieldPosition="0"/>
    </format>
    <format dxfId="237">
      <pivotArea dataOnly="0" labelOnly="1" fieldPosition="0">
        <references count="1">
          <reference field="14" count="0"/>
        </references>
      </pivotArea>
    </format>
    <format dxfId="236">
      <pivotArea dataOnly="0" labelOnly="1" grandCol="1" outline="0" fieldPosition="0"/>
    </format>
    <format dxfId="235">
      <pivotArea outline="0" collapsedLevelsAreSubtotals="1" fieldPosition="0"/>
    </format>
    <format dxfId="234">
      <pivotArea field="14" type="button" dataOnly="0" labelOnly="1" outline="0" axis="axisCol" fieldPosition="0"/>
    </format>
    <format dxfId="233">
      <pivotArea type="topRight" dataOnly="0" labelOnly="1" outline="0" fieldPosition="0"/>
    </format>
    <format dxfId="232">
      <pivotArea dataOnly="0" labelOnly="1" fieldPosition="0">
        <references count="1">
          <reference field="14" count="0"/>
        </references>
      </pivotArea>
    </format>
    <format dxfId="231">
      <pivotArea dataOnly="0" labelOnly="1" grandCol="1" outline="0" fieldPosition="0"/>
    </format>
    <format dxfId="230">
      <pivotArea type="origin" dataOnly="0" labelOnly="1" outline="0" fieldPosition="0"/>
    </format>
    <format dxfId="229">
      <pivotArea field="0" type="button" dataOnly="0" labelOnly="1" outline="0" axis="axisRow" fieldPosition="0"/>
    </format>
    <format dxfId="228">
      <pivotArea dataOnly="0" labelOnly="1" fieldPosition="0">
        <references count="1">
          <reference field="0" count="0"/>
        </references>
      </pivotArea>
    </format>
    <format dxfId="227">
      <pivotArea dataOnly="0" labelOnly="1" grandRow="1" outline="0" fieldPosition="0"/>
    </format>
    <format dxfId="226">
      <pivotArea type="all" dataOnly="0" outline="0" fieldPosition="0"/>
    </format>
    <format dxfId="225">
      <pivotArea outline="0" collapsedLevelsAreSubtotals="1" fieldPosition="0"/>
    </format>
    <format dxfId="224">
      <pivotArea type="origin" dataOnly="0" labelOnly="1" outline="0" fieldPosition="0"/>
    </format>
    <format dxfId="223">
      <pivotArea field="14" type="button" dataOnly="0" labelOnly="1" outline="0" axis="axisCol" fieldPosition="0"/>
    </format>
    <format dxfId="222">
      <pivotArea type="topRight" dataOnly="0" labelOnly="1" outline="0" fieldPosition="0"/>
    </format>
    <format dxfId="221">
      <pivotArea field="0" type="button" dataOnly="0" labelOnly="1" outline="0" axis="axisRow" fieldPosition="0"/>
    </format>
    <format dxfId="220">
      <pivotArea dataOnly="0" labelOnly="1" fieldPosition="0">
        <references count="1">
          <reference field="0" count="0"/>
        </references>
      </pivotArea>
    </format>
    <format dxfId="219">
      <pivotArea dataOnly="0" labelOnly="1" grandRow="1" outline="0" fieldPosition="0"/>
    </format>
    <format dxfId="218">
      <pivotArea dataOnly="0" labelOnly="1" fieldPosition="0">
        <references count="1">
          <reference field="14" count="0"/>
        </references>
      </pivotArea>
    </format>
    <format dxfId="21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피벗 테이블2" cacheId="0"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rowHeaderCaption="기능/비기능" colHeaderCaption="상태/검토구분">
  <location ref="A3:F17" firstHeaderRow="1" firstDataRow="3" firstDataCol="2"/>
  <pivotFields count="20">
    <pivotField axis="axisRow" outline="0" showAll="0" defaultSubtotal="0">
      <items count="11">
        <item m="1" x="8"/>
        <item m="1" x="7"/>
        <item m="1" x="9"/>
        <item x="0"/>
        <item m="1" x="10"/>
        <item x="1"/>
        <item x="3"/>
        <item x="2"/>
        <item x="4"/>
        <item x="6"/>
        <item x="5"/>
      </items>
    </pivotField>
    <pivotField showAll="0"/>
    <pivotField showAll="0"/>
    <pivotField showAll="0"/>
    <pivotField axis="axisRow" dataField="1" outline="0" showAll="0">
      <items count="3">
        <item x="1"/>
        <item x="0"/>
        <item t="default"/>
      </items>
    </pivotField>
    <pivotField showAll="0"/>
    <pivotField axis="axisCol" showAll="0" defaultSubtotal="0">
      <items count="2">
        <item x="0"/>
        <item x="1"/>
      </items>
    </pivotField>
    <pivotField showAll="0"/>
    <pivotField showAll="0"/>
    <pivotField showAll="0"/>
    <pivotField showAll="0"/>
    <pivotField showAll="0"/>
    <pivotField showAll="0"/>
    <pivotField showAll="0"/>
    <pivotField axis="axisCol" showAll="0" defaultSubtotal="0">
      <items count="6">
        <item m="1" x="5"/>
        <item m="1" x="4"/>
        <item m="1" x="3"/>
        <item x="0"/>
        <item x="1"/>
        <item x="2"/>
      </items>
    </pivotField>
    <pivotField showAll="0"/>
    <pivotField showAll="0"/>
    <pivotField showAll="0"/>
    <pivotField showAll="0"/>
    <pivotField showAll="0"/>
  </pivotFields>
  <rowFields count="2">
    <field x="4"/>
    <field x="0"/>
  </rowFields>
  <rowItems count="12">
    <i>
      <x/>
      <x v="3"/>
    </i>
    <i r="1">
      <x v="5"/>
    </i>
    <i r="1">
      <x v="6"/>
    </i>
    <i r="1">
      <x v="7"/>
    </i>
    <i r="1">
      <x v="8"/>
    </i>
    <i r="1">
      <x v="9"/>
    </i>
    <i r="1">
      <x v="10"/>
    </i>
    <i t="default">
      <x/>
    </i>
    <i>
      <x v="1"/>
      <x v="3"/>
    </i>
    <i r="1">
      <x v="10"/>
    </i>
    <i t="default">
      <x v="1"/>
    </i>
    <i t="grand">
      <x/>
    </i>
  </rowItems>
  <colFields count="2">
    <field x="6"/>
    <field x="14"/>
  </colFields>
  <colItems count="4">
    <i>
      <x/>
      <x v="3"/>
    </i>
    <i r="1">
      <x v="4"/>
    </i>
    <i>
      <x v="1"/>
      <x v="5"/>
    </i>
    <i t="grand">
      <x/>
    </i>
  </colItems>
  <dataFields count="1">
    <dataField name="개수 : 요구사항구분" fld="4" subtotal="count" baseField="0" baseItem="0"/>
  </dataFields>
  <formats count="190">
    <format dxfId="216">
      <pivotArea outline="0" collapsedLevelsAreSubtotals="1" fieldPosition="0">
        <references count="1">
          <reference field="4" count="1" selected="0" defaultSubtotal="1">
            <x v="0"/>
          </reference>
        </references>
      </pivotArea>
    </format>
    <format dxfId="215">
      <pivotArea field="4" type="button" dataOnly="0" labelOnly="1" outline="0" axis="axisRow" fieldPosition="0"/>
    </format>
    <format dxfId="214">
      <pivotArea field="6" type="button" dataOnly="0" labelOnly="1" outline="0" axis="axisCol" fieldPosition="0"/>
    </format>
    <format dxfId="213">
      <pivotArea type="topRight" dataOnly="0" labelOnly="1" outline="0" offset="A1" fieldPosition="0"/>
    </format>
    <format dxfId="212">
      <pivotArea dataOnly="0" labelOnly="1" fieldPosition="0">
        <references count="1">
          <reference field="4" count="1">
            <x v="0"/>
          </reference>
        </references>
      </pivotArea>
    </format>
    <format dxfId="211">
      <pivotArea dataOnly="0" labelOnly="1" fieldPosition="0">
        <references count="1">
          <reference field="4" count="1" defaultSubtotal="1">
            <x v="0"/>
          </reference>
        </references>
      </pivotArea>
    </format>
    <format dxfId="210">
      <pivotArea dataOnly="0" labelOnly="1" fieldPosition="0">
        <references count="2">
          <reference field="4" count="1" selected="0">
            <x v="0"/>
          </reference>
          <reference field="6" count="0"/>
        </references>
      </pivotArea>
    </format>
    <format dxfId="209">
      <pivotArea outline="0" collapsedLevelsAreSubtotals="1" fieldPosition="0">
        <references count="1">
          <reference field="4" count="1" selected="0" defaultSubtotal="1">
            <x v="1"/>
          </reference>
        </references>
      </pivotArea>
    </format>
    <format dxfId="208">
      <pivotArea type="topRight" dataOnly="0" labelOnly="1" outline="0" offset="B1:D1" fieldPosition="0"/>
    </format>
    <format dxfId="207">
      <pivotArea dataOnly="0" labelOnly="1" fieldPosition="0">
        <references count="1">
          <reference field="4" count="1">
            <x v="1"/>
          </reference>
        </references>
      </pivotArea>
    </format>
    <format dxfId="206">
      <pivotArea dataOnly="0" labelOnly="1" fieldPosition="0">
        <references count="1">
          <reference field="4" count="1" defaultSubtotal="1">
            <x v="1"/>
          </reference>
        </references>
      </pivotArea>
    </format>
    <format dxfId="205">
      <pivotArea dataOnly="0" labelOnly="1" fieldPosition="0">
        <references count="2">
          <reference field="4" count="1" selected="0">
            <x v="1"/>
          </reference>
          <reference field="6" count="0"/>
        </references>
      </pivotArea>
    </format>
    <format dxfId="204">
      <pivotArea grandCol="1" outline="0" collapsedLevelsAreSubtotals="1" fieldPosition="0"/>
    </format>
    <format dxfId="203">
      <pivotArea type="topRight" dataOnly="0" labelOnly="1" outline="0" offset="E1" fieldPosition="0"/>
    </format>
    <format dxfId="202">
      <pivotArea dataOnly="0" labelOnly="1" grandCol="1" outline="0" fieldPosition="0"/>
    </format>
    <format dxfId="201">
      <pivotArea grandRow="1" grandCol="1" outline="0" collapsedLevelsAreSubtotals="1" fieldPosition="0"/>
    </format>
    <format dxfId="200">
      <pivotArea outline="0" collapsedLevelsAreSubtotals="1" fieldPosition="0">
        <references count="1">
          <reference field="4" count="1" selected="0" defaultSubtotal="1">
            <x v="0"/>
          </reference>
        </references>
      </pivotArea>
    </format>
    <format dxfId="199">
      <pivotArea field="4" type="button" dataOnly="0" labelOnly="1" outline="0" axis="axisRow" fieldPosition="0"/>
    </format>
    <format dxfId="198">
      <pivotArea field="6" type="button" dataOnly="0" labelOnly="1" outline="0" axis="axisCol" fieldPosition="0"/>
    </format>
    <format dxfId="197">
      <pivotArea type="topRight" dataOnly="0" labelOnly="1" outline="0" offset="A1:D1" fieldPosition="0"/>
    </format>
    <format dxfId="196">
      <pivotArea dataOnly="0" labelOnly="1" fieldPosition="0">
        <references count="1">
          <reference field="4" count="1">
            <x v="0"/>
          </reference>
        </references>
      </pivotArea>
    </format>
    <format dxfId="195">
      <pivotArea dataOnly="0" labelOnly="1" fieldPosition="0">
        <references count="1">
          <reference field="4" count="1" defaultSubtotal="1">
            <x v="0"/>
          </reference>
        </references>
      </pivotArea>
    </format>
    <format dxfId="194">
      <pivotArea dataOnly="0" labelOnly="1" fieldPosition="0">
        <references count="2">
          <reference field="4" count="1" selected="0">
            <x v="0"/>
          </reference>
          <reference field="6" count="0"/>
        </references>
      </pivotArea>
    </format>
    <format dxfId="193">
      <pivotArea dataOnly="0" labelOnly="1" fieldPosition="0">
        <references count="2">
          <reference field="4" count="1" selected="0">
            <x v="0"/>
          </reference>
          <reference field="6" count="0" defaultSubtotal="1"/>
        </references>
      </pivotArea>
    </format>
    <format dxfId="192">
      <pivotArea outline="0" collapsedLevelsAreSubtotals="1" fieldPosition="0">
        <references count="1">
          <reference field="4" count="1" selected="0" defaultSubtotal="1">
            <x v="1"/>
          </reference>
        </references>
      </pivotArea>
    </format>
    <format dxfId="191">
      <pivotArea type="topRight" dataOnly="0" labelOnly="1" outline="0" offset="E1:I1" fieldPosition="0"/>
    </format>
    <format dxfId="190">
      <pivotArea dataOnly="0" labelOnly="1" fieldPosition="0">
        <references count="1">
          <reference field="4" count="1">
            <x v="1"/>
          </reference>
        </references>
      </pivotArea>
    </format>
    <format dxfId="189">
      <pivotArea dataOnly="0" labelOnly="1" fieldPosition="0">
        <references count="1">
          <reference field="4" count="1" defaultSubtotal="1">
            <x v="1"/>
          </reference>
        </references>
      </pivotArea>
    </format>
    <format dxfId="188">
      <pivotArea dataOnly="0" labelOnly="1" fieldPosition="0">
        <references count="2">
          <reference field="4" count="1" selected="0">
            <x v="1"/>
          </reference>
          <reference field="6" count="0"/>
        </references>
      </pivotArea>
    </format>
    <format dxfId="187">
      <pivotArea dataOnly="0" labelOnly="1" fieldPosition="0">
        <references count="2">
          <reference field="4" count="1" selected="0">
            <x v="1"/>
          </reference>
          <reference field="6" count="0" defaultSubtotal="1"/>
        </references>
      </pivotArea>
    </format>
    <format dxfId="186">
      <pivotArea dataOnly="0" labelOnly="1" fieldPosition="0">
        <references count="1">
          <reference field="4" count="1">
            <x v="0"/>
          </reference>
        </references>
      </pivotArea>
    </format>
    <format dxfId="185">
      <pivotArea dataOnly="0" labelOnly="1" fieldPosition="0">
        <references count="1">
          <reference field="4" count="1" defaultSubtotal="1">
            <x v="0"/>
          </reference>
        </references>
      </pivotArea>
    </format>
    <format dxfId="184">
      <pivotArea dataOnly="0" labelOnly="1" fieldPosition="0">
        <references count="2">
          <reference field="4" count="1" selected="0">
            <x v="0"/>
          </reference>
          <reference field="6" count="0"/>
        </references>
      </pivotArea>
    </format>
    <format dxfId="183">
      <pivotArea dataOnly="0" labelOnly="1" fieldPosition="0">
        <references count="2">
          <reference field="4" count="1" selected="0">
            <x v="0"/>
          </reference>
          <reference field="6" count="0" defaultSubtotal="1"/>
        </references>
      </pivotArea>
    </format>
    <format dxfId="182">
      <pivotArea dataOnly="0" labelOnly="1" fieldPosition="0">
        <references count="1">
          <reference field="4" count="1">
            <x v="1"/>
          </reference>
        </references>
      </pivotArea>
    </format>
    <format dxfId="181">
      <pivotArea dataOnly="0" labelOnly="1" fieldPosition="0">
        <references count="1">
          <reference field="4" count="1" defaultSubtotal="1">
            <x v="1"/>
          </reference>
        </references>
      </pivotArea>
    </format>
    <format dxfId="180">
      <pivotArea dataOnly="0" labelOnly="1" fieldPosition="0">
        <references count="2">
          <reference field="4" count="1" selected="0">
            <x v="1"/>
          </reference>
          <reference field="6" count="0"/>
        </references>
      </pivotArea>
    </format>
    <format dxfId="179">
      <pivotArea dataOnly="0" labelOnly="1" fieldPosition="0">
        <references count="2">
          <reference field="4" count="1" selected="0">
            <x v="1"/>
          </reference>
          <reference field="6" count="0" defaultSubtotal="1"/>
        </references>
      </pivotArea>
    </format>
    <format dxfId="178">
      <pivotArea collapsedLevelsAreSubtotals="1" fieldPosition="0">
        <references count="2">
          <reference field="0" count="0"/>
          <reference field="4" count="1" selected="0" defaultSubtotal="1">
            <x v="1"/>
          </reference>
        </references>
      </pivotArea>
    </format>
    <format dxfId="177">
      <pivotArea collapsedLevelsAreSubtotals="1" fieldPosition="0">
        <references count="2">
          <reference field="0" count="0"/>
          <reference field="4" count="1" selected="0" defaultSubtotal="1">
            <x v="0"/>
          </reference>
        </references>
      </pivotArea>
    </format>
    <format dxfId="176">
      <pivotArea type="all" dataOnly="0" outline="0" fieldPosition="0"/>
    </format>
    <format dxfId="175">
      <pivotArea type="all" dataOnly="0" outline="0" fieldPosition="0"/>
    </format>
    <format dxfId="174">
      <pivotArea outline="0" collapsedLevelsAreSubtotals="1" fieldPosition="0"/>
    </format>
    <format dxfId="173">
      <pivotArea type="origin" dataOnly="0" labelOnly="1" outline="0" fieldPosition="0"/>
    </format>
    <format dxfId="172">
      <pivotArea field="6" type="button" dataOnly="0" labelOnly="1" outline="0" axis="axisCol" fieldPosition="0"/>
    </format>
    <format dxfId="171">
      <pivotArea type="topRight" dataOnly="0" labelOnly="1" outline="0" fieldPosition="0"/>
    </format>
    <format dxfId="170">
      <pivotArea field="0" type="button" dataOnly="0" labelOnly="1" outline="0" axis="axisRow" fieldPosition="1"/>
    </format>
    <format dxfId="169">
      <pivotArea dataOnly="0" labelOnly="1" fieldPosition="0">
        <references count="1">
          <reference field="0" count="0"/>
        </references>
      </pivotArea>
    </format>
    <format dxfId="168">
      <pivotArea dataOnly="0" labelOnly="1" grandRow="1" outline="0" fieldPosition="0"/>
    </format>
    <format dxfId="167">
      <pivotArea dataOnly="0" labelOnly="1" fieldPosition="0">
        <references count="2">
          <reference field="0" count="1" selected="0">
            <x v="0"/>
          </reference>
          <reference field="4" count="1">
            <x v="0"/>
          </reference>
        </references>
      </pivotArea>
    </format>
    <format dxfId="166">
      <pivotArea dataOnly="0" labelOnly="1" fieldPosition="0">
        <references count="2">
          <reference field="0" count="1" selected="0">
            <x v="9"/>
          </reference>
          <reference field="4" count="1">
            <x v="0"/>
          </reference>
        </references>
      </pivotArea>
    </format>
    <format dxfId="165">
      <pivotArea dataOnly="0" labelOnly="1" fieldPosition="0">
        <references count="2">
          <reference field="0" count="1" selected="0">
            <x v="10"/>
          </reference>
          <reference field="4" count="0"/>
        </references>
      </pivotArea>
    </format>
    <format dxfId="164">
      <pivotArea dataOnly="0" labelOnly="1" fieldPosition="0">
        <references count="2">
          <reference field="0" count="1" selected="0">
            <x v="4"/>
          </reference>
          <reference field="4" count="1">
            <x v="0"/>
          </reference>
        </references>
      </pivotArea>
    </format>
    <format dxfId="163">
      <pivotArea dataOnly="0" labelOnly="1" fieldPosition="0">
        <references count="2">
          <reference field="0" count="1" selected="0">
            <x v="5"/>
          </reference>
          <reference field="4" count="1">
            <x v="0"/>
          </reference>
        </references>
      </pivotArea>
    </format>
    <format dxfId="162">
      <pivotArea dataOnly="0" labelOnly="1" fieldPosition="0">
        <references count="2">
          <reference field="0" count="1" selected="0">
            <x v="6"/>
          </reference>
          <reference field="4" count="1">
            <x v="0"/>
          </reference>
        </references>
      </pivotArea>
    </format>
    <format dxfId="161">
      <pivotArea dataOnly="0" labelOnly="1" fieldPosition="0">
        <references count="2">
          <reference field="0" count="1" selected="0">
            <x v="8"/>
          </reference>
          <reference field="4" count="1">
            <x v="0"/>
          </reference>
        </references>
      </pivotArea>
    </format>
    <format dxfId="160">
      <pivotArea dataOnly="0" labelOnly="1" fieldPosition="0">
        <references count="2">
          <reference field="0" count="1" selected="0">
            <x v="3"/>
          </reference>
          <reference field="4" count="0"/>
        </references>
      </pivotArea>
    </format>
    <format dxfId="159">
      <pivotArea dataOnly="0" labelOnly="1" fieldPosition="0">
        <references count="2">
          <reference field="0" count="1" selected="0">
            <x v="7"/>
          </reference>
          <reference field="4" count="1">
            <x v="0"/>
          </reference>
        </references>
      </pivotArea>
    </format>
    <format dxfId="158">
      <pivotArea dataOnly="0" labelOnly="1" fieldPosition="0">
        <references count="1">
          <reference field="6" count="0"/>
        </references>
      </pivotArea>
    </format>
    <format dxfId="157">
      <pivotArea dataOnly="0" labelOnly="1" fieldPosition="0">
        <references count="1">
          <reference field="6" count="0" defaultSubtotal="1"/>
        </references>
      </pivotArea>
    </format>
    <format dxfId="156">
      <pivotArea dataOnly="0" labelOnly="1" grandCol="1" outline="0" fieldPosition="0"/>
    </format>
    <format dxfId="155">
      <pivotArea type="all" dataOnly="0" outline="0" fieldPosition="0"/>
    </format>
    <format dxfId="154">
      <pivotArea outline="0" collapsedLevelsAreSubtotals="1" fieldPosition="0"/>
    </format>
    <format dxfId="153">
      <pivotArea type="origin" dataOnly="0" labelOnly="1" outline="0" fieldPosition="0"/>
    </format>
    <format dxfId="152">
      <pivotArea field="6" type="button" dataOnly="0" labelOnly="1" outline="0" axis="axisCol" fieldPosition="0"/>
    </format>
    <format dxfId="151">
      <pivotArea type="topRight" dataOnly="0" labelOnly="1" outline="0" fieldPosition="0"/>
    </format>
    <format dxfId="150">
      <pivotArea field="0" type="button" dataOnly="0" labelOnly="1" outline="0" axis="axisRow" fieldPosition="1"/>
    </format>
    <format dxfId="149">
      <pivotArea dataOnly="0" labelOnly="1" fieldPosition="0">
        <references count="1">
          <reference field="0" count="0"/>
        </references>
      </pivotArea>
    </format>
    <format dxfId="148">
      <pivotArea dataOnly="0" labelOnly="1" grandRow="1" outline="0" fieldPosition="0"/>
    </format>
    <format dxfId="147">
      <pivotArea dataOnly="0" labelOnly="1" fieldPosition="0">
        <references count="2">
          <reference field="0" count="1" selected="0">
            <x v="0"/>
          </reference>
          <reference field="4" count="1">
            <x v="0"/>
          </reference>
        </references>
      </pivotArea>
    </format>
    <format dxfId="146">
      <pivotArea dataOnly="0" labelOnly="1" fieldPosition="0">
        <references count="2">
          <reference field="0" count="1" selected="0">
            <x v="9"/>
          </reference>
          <reference field="4" count="1">
            <x v="0"/>
          </reference>
        </references>
      </pivotArea>
    </format>
    <format dxfId="145">
      <pivotArea dataOnly="0" labelOnly="1" fieldPosition="0">
        <references count="2">
          <reference field="0" count="1" selected="0">
            <x v="10"/>
          </reference>
          <reference field="4" count="0"/>
        </references>
      </pivotArea>
    </format>
    <format dxfId="144">
      <pivotArea dataOnly="0" labelOnly="1" fieldPosition="0">
        <references count="2">
          <reference field="0" count="1" selected="0">
            <x v="4"/>
          </reference>
          <reference field="4" count="1">
            <x v="0"/>
          </reference>
        </references>
      </pivotArea>
    </format>
    <format dxfId="143">
      <pivotArea dataOnly="0" labelOnly="1" fieldPosition="0">
        <references count="2">
          <reference field="0" count="1" selected="0">
            <x v="5"/>
          </reference>
          <reference field="4" count="1">
            <x v="0"/>
          </reference>
        </references>
      </pivotArea>
    </format>
    <format dxfId="142">
      <pivotArea dataOnly="0" labelOnly="1" fieldPosition="0">
        <references count="2">
          <reference field="0" count="1" selected="0">
            <x v="6"/>
          </reference>
          <reference field="4" count="1">
            <x v="0"/>
          </reference>
        </references>
      </pivotArea>
    </format>
    <format dxfId="141">
      <pivotArea dataOnly="0" labelOnly="1" fieldPosition="0">
        <references count="2">
          <reference field="0" count="1" selected="0">
            <x v="8"/>
          </reference>
          <reference field="4" count="1">
            <x v="0"/>
          </reference>
        </references>
      </pivotArea>
    </format>
    <format dxfId="140">
      <pivotArea dataOnly="0" labelOnly="1" fieldPosition="0">
        <references count="2">
          <reference field="0" count="1" selected="0">
            <x v="3"/>
          </reference>
          <reference field="4" count="0"/>
        </references>
      </pivotArea>
    </format>
    <format dxfId="139">
      <pivotArea dataOnly="0" labelOnly="1" fieldPosition="0">
        <references count="2">
          <reference field="0" count="1" selected="0">
            <x v="7"/>
          </reference>
          <reference field="4" count="1">
            <x v="0"/>
          </reference>
        </references>
      </pivotArea>
    </format>
    <format dxfId="138">
      <pivotArea dataOnly="0" labelOnly="1" fieldPosition="0">
        <references count="1">
          <reference field="6" count="0"/>
        </references>
      </pivotArea>
    </format>
    <format dxfId="137">
      <pivotArea dataOnly="0" labelOnly="1" fieldPosition="0">
        <references count="1">
          <reference field="6" count="0" defaultSubtotal="1"/>
        </references>
      </pivotArea>
    </format>
    <format dxfId="136">
      <pivotArea dataOnly="0" labelOnly="1" grandCol="1" outline="0" fieldPosition="0"/>
    </format>
    <format dxfId="135">
      <pivotArea collapsedLevelsAreSubtotals="1" fieldPosition="0">
        <references count="1">
          <reference field="0" count="1">
            <x v="9"/>
          </reference>
        </references>
      </pivotArea>
    </format>
    <format dxfId="134">
      <pivotArea collapsedLevelsAreSubtotals="1" fieldPosition="0">
        <references count="2">
          <reference field="0" count="1" selected="0">
            <x v="9"/>
          </reference>
          <reference field="4" count="1">
            <x v="0"/>
          </reference>
        </references>
      </pivotArea>
    </format>
    <format dxfId="133">
      <pivotArea collapsedLevelsAreSubtotals="1" fieldPosition="0">
        <references count="1">
          <reference field="0" count="1">
            <x v="10"/>
          </reference>
        </references>
      </pivotArea>
    </format>
    <format dxfId="132">
      <pivotArea collapsedLevelsAreSubtotals="1" fieldPosition="0">
        <references count="2">
          <reference field="0" count="1" selected="0">
            <x v="10"/>
          </reference>
          <reference field="4" count="0"/>
        </references>
      </pivotArea>
    </format>
    <format dxfId="131">
      <pivotArea collapsedLevelsAreSubtotals="1" fieldPosition="0">
        <references count="1">
          <reference field="0" count="1">
            <x v="4"/>
          </reference>
        </references>
      </pivotArea>
    </format>
    <format dxfId="130">
      <pivotArea collapsedLevelsAreSubtotals="1" fieldPosition="0">
        <references count="2">
          <reference field="0" count="1" selected="0">
            <x v="4"/>
          </reference>
          <reference field="4" count="1">
            <x v="0"/>
          </reference>
        </references>
      </pivotArea>
    </format>
    <format dxfId="129">
      <pivotArea dataOnly="0" labelOnly="1" fieldPosition="0">
        <references count="1">
          <reference field="0" count="3">
            <x v="4"/>
            <x v="9"/>
            <x v="10"/>
          </reference>
        </references>
      </pivotArea>
    </format>
    <format dxfId="128">
      <pivotArea dataOnly="0" labelOnly="1" fieldPosition="0">
        <references count="2">
          <reference field="0" count="1" selected="0">
            <x v="9"/>
          </reference>
          <reference field="4" count="1">
            <x v="0"/>
          </reference>
        </references>
      </pivotArea>
    </format>
    <format dxfId="127">
      <pivotArea dataOnly="0" labelOnly="1" fieldPosition="0">
        <references count="2">
          <reference field="0" count="1" selected="0">
            <x v="10"/>
          </reference>
          <reference field="4" count="0"/>
        </references>
      </pivotArea>
    </format>
    <format dxfId="126">
      <pivotArea dataOnly="0" labelOnly="1" fieldPosition="0">
        <references count="2">
          <reference field="0" count="1" selected="0">
            <x v="4"/>
          </reference>
          <reference field="4" count="1">
            <x v="0"/>
          </reference>
        </references>
      </pivotArea>
    </format>
    <format dxfId="125">
      <pivotArea dataOnly="0" labelOnly="1" fieldPosition="0">
        <references count="2">
          <reference field="0" count="1" selected="0">
            <x v="10"/>
          </reference>
          <reference field="4" count="1">
            <x v="1"/>
          </reference>
        </references>
      </pivotArea>
    </format>
    <format dxfId="124">
      <pivotArea dataOnly="0" labelOnly="1" fieldPosition="0">
        <references count="2">
          <reference field="0" count="1" selected="0">
            <x v="3"/>
          </reference>
          <reference field="4" count="1">
            <x v="1"/>
          </reference>
        </references>
      </pivotArea>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6" type="button" dataOnly="0" labelOnly="1" outline="0" axis="axisCol" fieldPosition="0"/>
    </format>
    <format dxfId="119">
      <pivotArea type="topRight" dataOnly="0" labelOnly="1" outline="0" fieldPosition="0"/>
    </format>
    <format dxfId="118">
      <pivotArea field="4" type="button" dataOnly="0" labelOnly="1" outline="0" axis="axisRow" fieldPosition="0"/>
    </format>
    <format dxfId="117">
      <pivotArea field="0" type="button" dataOnly="0" labelOnly="1" outline="0" axis="axisRow" fieldPosition="1"/>
    </format>
    <format dxfId="116">
      <pivotArea dataOnly="0" labelOnly="1" fieldPosition="0">
        <references count="1">
          <reference field="4" count="0"/>
        </references>
      </pivotArea>
    </format>
    <format dxfId="115">
      <pivotArea dataOnly="0" labelOnly="1" fieldPosition="0">
        <references count="1">
          <reference field="4" count="0" defaultSubtotal="1"/>
        </references>
      </pivotArea>
    </format>
    <format dxfId="114">
      <pivotArea dataOnly="0" labelOnly="1" grandRow="1" outline="0" fieldPosition="0"/>
    </format>
    <format dxfId="113">
      <pivotArea dataOnly="0" labelOnly="1" fieldPosition="0">
        <references count="2">
          <reference field="0" count="0"/>
          <reference field="4" count="1" selected="0">
            <x v="0"/>
          </reference>
        </references>
      </pivotArea>
    </format>
    <format dxfId="112">
      <pivotArea dataOnly="0" labelOnly="1" fieldPosition="0">
        <references count="2">
          <reference field="0" count="2">
            <x v="3"/>
            <x v="10"/>
          </reference>
          <reference field="4" count="1" selected="0">
            <x v="1"/>
          </reference>
        </references>
      </pivotArea>
    </format>
    <format dxfId="111">
      <pivotArea dataOnly="0" labelOnly="1" fieldPosition="0">
        <references count="1">
          <reference field="6" count="0"/>
        </references>
      </pivotArea>
    </format>
    <format dxfId="110">
      <pivotArea dataOnly="0" labelOnly="1" grandCol="1" outline="0" fieldPosition="0"/>
    </format>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6" type="button" dataOnly="0" labelOnly="1" outline="0" axis="axisCol" fieldPosition="0"/>
    </format>
    <format dxfId="105">
      <pivotArea type="topRight" dataOnly="0" labelOnly="1" outline="0" fieldPosition="0"/>
    </format>
    <format dxfId="104">
      <pivotArea field="4" type="button" dataOnly="0" labelOnly="1" outline="0" axis="axisRow" fieldPosition="0"/>
    </format>
    <format dxfId="103">
      <pivotArea field="0" type="button" dataOnly="0" labelOnly="1" outline="0" axis="axisRow" fieldPosition="1"/>
    </format>
    <format dxfId="102">
      <pivotArea dataOnly="0" labelOnly="1" fieldPosition="0">
        <references count="1">
          <reference field="4" count="0"/>
        </references>
      </pivotArea>
    </format>
    <format dxfId="101">
      <pivotArea dataOnly="0" labelOnly="1" fieldPosition="0">
        <references count="1">
          <reference field="4" count="0" defaultSubtotal="1"/>
        </references>
      </pivotArea>
    </format>
    <format dxfId="100">
      <pivotArea dataOnly="0" labelOnly="1" grandRow="1" outline="0" fieldPosition="0"/>
    </format>
    <format dxfId="99">
      <pivotArea dataOnly="0" labelOnly="1" fieldPosition="0">
        <references count="2">
          <reference field="0" count="0"/>
          <reference field="4" count="1" selected="0">
            <x v="0"/>
          </reference>
        </references>
      </pivotArea>
    </format>
    <format dxfId="98">
      <pivotArea dataOnly="0" labelOnly="1" fieldPosition="0">
        <references count="2">
          <reference field="0" count="2">
            <x v="3"/>
            <x v="10"/>
          </reference>
          <reference field="4" count="1" selected="0">
            <x v="1"/>
          </reference>
        </references>
      </pivotArea>
    </format>
    <format dxfId="97">
      <pivotArea dataOnly="0" labelOnly="1" fieldPosition="0">
        <references count="1">
          <reference field="6" count="0"/>
        </references>
      </pivotArea>
    </format>
    <format dxfId="96">
      <pivotArea dataOnly="0" labelOnly="1" grandCol="1" outline="0" fieldPosition="0"/>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6" type="button" dataOnly="0" labelOnly="1" outline="0" axis="axisCol" fieldPosition="0"/>
    </format>
    <format dxfId="91">
      <pivotArea type="topRight" dataOnly="0" labelOnly="1" outline="0" fieldPosition="0"/>
    </format>
    <format dxfId="90">
      <pivotArea field="4" type="button" dataOnly="0" labelOnly="1" outline="0" axis="axisRow" fieldPosition="0"/>
    </format>
    <format dxfId="89">
      <pivotArea field="0" type="button" dataOnly="0" labelOnly="1" outline="0" axis="axisRow" fieldPosition="1"/>
    </format>
    <format dxfId="88">
      <pivotArea dataOnly="0" labelOnly="1" fieldPosition="0">
        <references count="1">
          <reference field="4" count="0"/>
        </references>
      </pivotArea>
    </format>
    <format dxfId="87">
      <pivotArea dataOnly="0" labelOnly="1" fieldPosition="0">
        <references count="1">
          <reference field="4" count="0" defaultSubtotal="1"/>
        </references>
      </pivotArea>
    </format>
    <format dxfId="86">
      <pivotArea dataOnly="0" labelOnly="1" grandRow="1" outline="0" fieldPosition="0"/>
    </format>
    <format dxfId="85">
      <pivotArea dataOnly="0" labelOnly="1" fieldPosition="0">
        <references count="2">
          <reference field="0" count="0"/>
          <reference field="4" count="1" selected="0">
            <x v="0"/>
          </reference>
        </references>
      </pivotArea>
    </format>
    <format dxfId="84">
      <pivotArea dataOnly="0" labelOnly="1" fieldPosition="0">
        <references count="2">
          <reference field="0" count="2">
            <x v="3"/>
            <x v="10"/>
          </reference>
          <reference field="4" count="1" selected="0">
            <x v="1"/>
          </reference>
        </references>
      </pivotArea>
    </format>
    <format dxfId="83">
      <pivotArea dataOnly="0" labelOnly="1" fieldPosition="0">
        <references count="1">
          <reference field="6" count="0"/>
        </references>
      </pivotArea>
    </format>
    <format dxfId="82">
      <pivotArea dataOnly="0" labelOnly="1" grandCol="1" outline="0" fieldPosition="0"/>
    </format>
    <format dxfId="81">
      <pivotArea outline="0" collapsedLevelsAreSubtotals="1" fieldPosition="0"/>
    </format>
    <format dxfId="80">
      <pivotArea field="6" type="button" dataOnly="0" labelOnly="1" outline="0" axis="axisCol" fieldPosition="0"/>
    </format>
    <format dxfId="79">
      <pivotArea type="topRight" dataOnly="0" labelOnly="1" outline="0" fieldPosition="0"/>
    </format>
    <format dxfId="78">
      <pivotArea dataOnly="0" labelOnly="1" fieldPosition="0">
        <references count="1">
          <reference field="6" count="0"/>
        </references>
      </pivotArea>
    </format>
    <format dxfId="77">
      <pivotArea dataOnly="0" labelOnly="1" grandCol="1" outline="0" fieldPosition="0"/>
    </format>
    <format dxfId="76">
      <pivotArea type="all" dataOnly="0" outline="0" fieldPosition="0"/>
    </format>
    <format dxfId="75">
      <pivotArea outline="0" collapsedLevelsAreSubtotals="1" fieldPosition="0"/>
    </format>
    <format dxfId="74">
      <pivotArea type="origin" dataOnly="0" labelOnly="1" outline="0" fieldPosition="0"/>
    </format>
    <format dxfId="73">
      <pivotArea field="6" type="button" dataOnly="0" labelOnly="1" outline="0" axis="axisCol" fieldPosition="0"/>
    </format>
    <format dxfId="72">
      <pivotArea type="topRight" dataOnly="0" labelOnly="1" outline="0" fieldPosition="0"/>
    </format>
    <format dxfId="71">
      <pivotArea field="4" type="button" dataOnly="0" labelOnly="1" outline="0" axis="axisRow" fieldPosition="0"/>
    </format>
    <format dxfId="70">
      <pivotArea field="0" type="button" dataOnly="0" labelOnly="1" outline="0" axis="axisRow" fieldPosition="1"/>
    </format>
    <format dxfId="69">
      <pivotArea dataOnly="0" labelOnly="1" fieldPosition="0">
        <references count="1">
          <reference field="4" count="0"/>
        </references>
      </pivotArea>
    </format>
    <format dxfId="68">
      <pivotArea dataOnly="0" labelOnly="1" fieldPosition="0">
        <references count="1">
          <reference field="4" count="0" defaultSubtotal="1"/>
        </references>
      </pivotArea>
    </format>
    <format dxfId="67">
      <pivotArea dataOnly="0" labelOnly="1" grandRow="1" outline="0" fieldPosition="0"/>
    </format>
    <format dxfId="66">
      <pivotArea dataOnly="0" labelOnly="1" fieldPosition="0">
        <references count="2">
          <reference field="0" count="0"/>
          <reference field="4" count="1" selected="0">
            <x v="0"/>
          </reference>
        </references>
      </pivotArea>
    </format>
    <format dxfId="65">
      <pivotArea dataOnly="0" labelOnly="1" fieldPosition="0">
        <references count="2">
          <reference field="0" count="2">
            <x v="3"/>
            <x v="10"/>
          </reference>
          <reference field="4" count="1" selected="0">
            <x v="1"/>
          </reference>
        </references>
      </pivotArea>
    </format>
    <format dxfId="64">
      <pivotArea dataOnly="0" labelOnly="1" fieldPosition="0">
        <references count="1">
          <reference field="6" count="0"/>
        </references>
      </pivotArea>
    </format>
    <format dxfId="63">
      <pivotArea dataOnly="0" labelOnly="1" grandCol="1" outline="0" fieldPosition="0"/>
    </format>
    <format dxfId="62">
      <pivotArea outline="0" collapsedLevelsAreSubtotals="1" fieldPosition="0"/>
    </format>
    <format dxfId="61">
      <pivotArea field="14" type="button" dataOnly="0" labelOnly="1" outline="0" axis="axisCol" fieldPosition="1"/>
    </format>
    <format dxfId="60">
      <pivotArea field="6" type="button" dataOnly="0" labelOnly="1" outline="0" axis="axisCol" fieldPosition="0"/>
    </format>
    <format dxfId="59">
      <pivotArea type="topRight" dataOnly="0" labelOnly="1" outline="0" fieldPosition="0"/>
    </format>
    <format dxfId="58">
      <pivotArea dataOnly="0" labelOnly="1" fieldPosition="0">
        <references count="1">
          <reference field="14" count="0"/>
        </references>
      </pivotArea>
    </format>
    <format dxfId="57">
      <pivotArea dataOnly="0" labelOnly="1" grandCol="1" outline="0" fieldPosition="0"/>
    </format>
    <format dxfId="56">
      <pivotArea dataOnly="0" labelOnly="1" fieldPosition="0">
        <references count="2">
          <reference field="6" count="1">
            <x v="0"/>
          </reference>
          <reference field="14" count="1" selected="0">
            <x v="0"/>
          </reference>
        </references>
      </pivotArea>
    </format>
    <format dxfId="55">
      <pivotArea dataOnly="0" labelOnly="1" fieldPosition="0">
        <references count="2">
          <reference field="6" count="1">
            <x v="0"/>
          </reference>
          <reference field="14" count="1" selected="0">
            <x v="1"/>
          </reference>
        </references>
      </pivotArea>
    </format>
    <format dxfId="54">
      <pivotArea dataOnly="0" labelOnly="1" fieldPosition="0">
        <references count="2">
          <reference field="6" count="1">
            <x v="1"/>
          </reference>
          <reference field="14" count="1" selected="0">
            <x v="2"/>
          </reference>
        </references>
      </pivotArea>
    </format>
    <format dxfId="53">
      <pivotArea outline="0" collapsedLevelsAreSubtotals="1" fieldPosition="0"/>
    </format>
    <format dxfId="52">
      <pivotArea field="14" type="button" dataOnly="0" labelOnly="1" outline="0" axis="axisCol" fieldPosition="1"/>
    </format>
    <format dxfId="51">
      <pivotArea field="6" type="button" dataOnly="0" labelOnly="1" outline="0" axis="axisCol" fieldPosition="0"/>
    </format>
    <format dxfId="50">
      <pivotArea type="topRight" dataOnly="0" labelOnly="1" outline="0" fieldPosition="0"/>
    </format>
    <format dxfId="49">
      <pivotArea dataOnly="0" labelOnly="1" fieldPosition="0">
        <references count="1">
          <reference field="14" count="0"/>
        </references>
      </pivotArea>
    </format>
    <format dxfId="48">
      <pivotArea dataOnly="0" labelOnly="1" grandCol="1" outline="0" fieldPosition="0"/>
    </format>
    <format dxfId="47">
      <pivotArea dataOnly="0" labelOnly="1" fieldPosition="0">
        <references count="2">
          <reference field="6" count="1">
            <x v="0"/>
          </reference>
          <reference field="14" count="1" selected="0">
            <x v="0"/>
          </reference>
        </references>
      </pivotArea>
    </format>
    <format dxfId="46">
      <pivotArea dataOnly="0" labelOnly="1" fieldPosition="0">
        <references count="2">
          <reference field="6" count="1">
            <x v="0"/>
          </reference>
          <reference field="14" count="1" selected="0">
            <x v="1"/>
          </reference>
        </references>
      </pivotArea>
    </format>
    <format dxfId="45">
      <pivotArea dataOnly="0" labelOnly="1" fieldPosition="0">
        <references count="2">
          <reference field="6" count="1">
            <x v="1"/>
          </reference>
          <reference field="14" count="1" selected="0">
            <x v="2"/>
          </reference>
        </references>
      </pivotArea>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14" type="button" dataOnly="0" labelOnly="1" outline="0" axis="axisCol" fieldPosition="1"/>
    </format>
    <format dxfId="40">
      <pivotArea field="6" type="button" dataOnly="0" labelOnly="1" outline="0" axis="axisCol" fieldPosition="0"/>
    </format>
    <format dxfId="39">
      <pivotArea type="topRight" dataOnly="0" labelOnly="1" outline="0" fieldPosition="0"/>
    </format>
    <format dxfId="38">
      <pivotArea field="4" type="button" dataOnly="0" labelOnly="1" outline="0" axis="axisRow" fieldPosition="0"/>
    </format>
    <format dxfId="37">
      <pivotArea field="0" type="button" dataOnly="0" labelOnly="1" outline="0" axis="axisRow" fieldPosition="1"/>
    </format>
    <format dxfId="36">
      <pivotArea dataOnly="0" labelOnly="1" fieldPosition="0">
        <references count="1">
          <reference field="4" count="0"/>
        </references>
      </pivotArea>
    </format>
    <format dxfId="35">
      <pivotArea dataOnly="0" labelOnly="1" fieldPosition="0">
        <references count="1">
          <reference field="4" count="0" defaultSubtotal="1"/>
        </references>
      </pivotArea>
    </format>
    <format dxfId="34">
      <pivotArea dataOnly="0" labelOnly="1" grandRow="1" outline="0" fieldPosition="0"/>
    </format>
    <format dxfId="33">
      <pivotArea dataOnly="0" labelOnly="1" fieldPosition="0">
        <references count="2">
          <reference field="0" count="0"/>
          <reference field="4" count="1" selected="0">
            <x v="0"/>
          </reference>
        </references>
      </pivotArea>
    </format>
    <format dxfId="32">
      <pivotArea dataOnly="0" labelOnly="1" fieldPosition="0">
        <references count="2">
          <reference field="0" count="2">
            <x v="3"/>
            <x v="10"/>
          </reference>
          <reference field="4" count="1" selected="0">
            <x v="1"/>
          </reference>
        </references>
      </pivotArea>
    </format>
    <format dxfId="31">
      <pivotArea dataOnly="0" labelOnly="1" fieldPosition="0">
        <references count="1">
          <reference field="14" count="0"/>
        </references>
      </pivotArea>
    </format>
    <format dxfId="30">
      <pivotArea dataOnly="0" labelOnly="1" grandCol="1" outline="0" fieldPosition="0"/>
    </format>
    <format dxfId="29">
      <pivotArea dataOnly="0" labelOnly="1" fieldPosition="0">
        <references count="2">
          <reference field="6" count="1">
            <x v="0"/>
          </reference>
          <reference field="14" count="1" selected="0">
            <x v="0"/>
          </reference>
        </references>
      </pivotArea>
    </format>
    <format dxfId="28">
      <pivotArea dataOnly="0" labelOnly="1" fieldPosition="0">
        <references count="2">
          <reference field="6" count="1">
            <x v="0"/>
          </reference>
          <reference field="14" count="1" selected="0">
            <x v="1"/>
          </reference>
        </references>
      </pivotArea>
    </format>
    <format dxfId="27">
      <pivotArea dataOnly="0" labelOnly="1" fieldPosition="0">
        <references count="2">
          <reference field="6" count="1">
            <x v="1"/>
          </reference>
          <reference field="1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6"/>
  <sheetViews>
    <sheetView showGridLines="0" zoomScale="80" zoomScaleNormal="80" zoomScaleSheetLayoutView="70" workbookViewId="0">
      <selection activeCell="F18" sqref="F18:I18"/>
    </sheetView>
  </sheetViews>
  <sheetFormatPr defaultRowHeight="13.5"/>
  <cols>
    <col min="1" max="16384" width="8.88671875" style="15"/>
  </cols>
  <sheetData>
    <row r="1" spans="1:13" s="1" customFormat="1" ht="25.5" customHeight="1">
      <c r="A1" s="10"/>
      <c r="B1" s="10"/>
      <c r="C1" s="10"/>
      <c r="D1" s="10"/>
      <c r="E1" s="10"/>
      <c r="F1" s="336"/>
      <c r="G1" s="336"/>
      <c r="H1" s="343"/>
      <c r="I1" s="343"/>
      <c r="J1" s="336"/>
      <c r="K1" s="336"/>
      <c r="L1" s="2"/>
    </row>
    <row r="2" spans="1:13" s="1" customFormat="1" ht="25.5" customHeight="1">
      <c r="A2" s="10"/>
      <c r="B2" s="10"/>
      <c r="C2" s="10"/>
      <c r="D2" s="10"/>
      <c r="E2" s="10"/>
      <c r="F2" s="3"/>
      <c r="G2" s="3"/>
      <c r="H2" s="3"/>
      <c r="I2" s="3"/>
      <c r="J2" s="3"/>
      <c r="K2" s="3"/>
      <c r="L2" s="3"/>
    </row>
    <row r="3" spans="1:13" s="1" customFormat="1" ht="25.5" customHeight="1">
      <c r="A3" s="10"/>
      <c r="B3" s="10"/>
      <c r="C3" s="10"/>
      <c r="D3" s="10"/>
      <c r="E3" s="10"/>
      <c r="F3" s="22"/>
      <c r="G3" s="22"/>
      <c r="H3" s="22"/>
      <c r="I3" s="22"/>
      <c r="J3" s="22"/>
      <c r="K3" s="22"/>
      <c r="L3" s="4"/>
    </row>
    <row r="4" spans="1:13" s="1" customFormat="1" ht="25.5" customHeight="1">
      <c r="A4" s="11"/>
      <c r="B4" s="12"/>
      <c r="C4" s="12"/>
      <c r="D4" s="12"/>
      <c r="E4" s="12"/>
      <c r="F4" s="23"/>
      <c r="G4" s="23"/>
      <c r="H4" s="23"/>
      <c r="I4" s="23"/>
      <c r="J4" s="23"/>
      <c r="K4" s="23"/>
      <c r="L4" s="5"/>
    </row>
    <row r="5" spans="1:13" ht="25.5" customHeight="1">
      <c r="A5" s="13"/>
      <c r="B5" s="14"/>
      <c r="C5" s="13"/>
      <c r="D5" s="13"/>
      <c r="E5" s="13"/>
      <c r="F5" s="13"/>
      <c r="G5" s="13"/>
      <c r="H5" s="13"/>
      <c r="I5" s="13"/>
      <c r="J5" s="13"/>
      <c r="K5" s="13"/>
      <c r="L5" s="13"/>
    </row>
    <row r="6" spans="1:13" ht="25.5" customHeight="1">
      <c r="A6" s="24"/>
      <c r="B6" s="344"/>
      <c r="C6" s="344"/>
      <c r="D6" s="344"/>
      <c r="E6" s="344"/>
      <c r="F6" s="344"/>
      <c r="G6" s="344"/>
      <c r="H6" s="344"/>
      <c r="I6" s="344"/>
      <c r="J6" s="344"/>
      <c r="K6" s="344"/>
      <c r="L6" s="25"/>
      <c r="M6" s="26"/>
    </row>
    <row r="7" spans="1:13" ht="33.75" customHeight="1">
      <c r="A7" s="24"/>
      <c r="B7" s="337" t="s">
        <v>10</v>
      </c>
      <c r="C7" s="338"/>
      <c r="D7" s="338"/>
      <c r="E7" s="338"/>
      <c r="F7" s="338"/>
      <c r="G7" s="338"/>
      <c r="H7" s="338"/>
      <c r="I7" s="338"/>
      <c r="J7" s="338"/>
      <c r="K7" s="338"/>
      <c r="L7" s="27"/>
      <c r="M7" s="26"/>
    </row>
    <row r="8" spans="1:13" ht="31.5" customHeight="1">
      <c r="A8" s="24"/>
      <c r="B8" s="339"/>
      <c r="C8" s="339"/>
      <c r="D8" s="339"/>
      <c r="E8" s="339"/>
      <c r="F8" s="339"/>
      <c r="G8" s="339"/>
      <c r="H8" s="339"/>
      <c r="I8" s="339"/>
      <c r="J8" s="339"/>
      <c r="K8" s="339"/>
      <c r="L8" s="28"/>
      <c r="M8" s="26"/>
    </row>
    <row r="9" spans="1:13" ht="45" customHeight="1">
      <c r="A9" s="24"/>
      <c r="B9" s="337" t="s">
        <v>2234</v>
      </c>
      <c r="C9" s="338"/>
      <c r="D9" s="338"/>
      <c r="E9" s="338"/>
      <c r="F9" s="338"/>
      <c r="G9" s="338"/>
      <c r="H9" s="338"/>
      <c r="I9" s="338"/>
      <c r="J9" s="338"/>
      <c r="K9" s="338"/>
      <c r="L9" s="29"/>
      <c r="M9" s="26"/>
    </row>
    <row r="10" spans="1:13" ht="13.5" customHeight="1">
      <c r="A10" s="24"/>
      <c r="B10" s="30"/>
      <c r="C10" s="24"/>
      <c r="D10" s="24"/>
      <c r="E10" s="24"/>
      <c r="F10" s="24"/>
      <c r="G10" s="24"/>
      <c r="H10" s="24"/>
      <c r="I10" s="24"/>
      <c r="J10" s="24"/>
      <c r="K10" s="24"/>
      <c r="L10" s="24"/>
      <c r="M10" s="26"/>
    </row>
    <row r="11" spans="1:13" ht="13.5" customHeight="1">
      <c r="A11" s="24"/>
      <c r="B11" s="30"/>
      <c r="C11" s="24"/>
      <c r="D11" s="24"/>
      <c r="E11" s="24"/>
      <c r="F11" s="24"/>
      <c r="G11" s="24"/>
      <c r="H11" s="24"/>
      <c r="I11" s="24"/>
      <c r="J11" s="24"/>
      <c r="K11" s="24"/>
      <c r="L11" s="24"/>
      <c r="M11" s="26"/>
    </row>
    <row r="12" spans="1:13" ht="13.5" customHeight="1">
      <c r="A12" s="13"/>
      <c r="B12" s="14"/>
      <c r="C12" s="13"/>
      <c r="D12" s="13"/>
      <c r="E12" s="13"/>
      <c r="F12" s="13"/>
      <c r="G12" s="13"/>
      <c r="H12" s="13"/>
      <c r="I12" s="13"/>
      <c r="J12" s="13"/>
      <c r="K12" s="13"/>
      <c r="L12" s="13"/>
    </row>
    <row r="13" spans="1:13" ht="13.5" customHeight="1">
      <c r="A13" s="13"/>
      <c r="B13" s="14"/>
      <c r="C13" s="13"/>
      <c r="D13" s="13"/>
      <c r="E13" s="13"/>
      <c r="F13" s="13"/>
      <c r="G13" s="13"/>
      <c r="H13" s="13"/>
      <c r="I13" s="13"/>
      <c r="J13" s="13"/>
      <c r="K13" s="13"/>
      <c r="L13" s="13"/>
    </row>
    <row r="14" spans="1:13" ht="13.5" customHeight="1">
      <c r="A14" s="13"/>
      <c r="B14" s="14"/>
      <c r="C14" s="13"/>
      <c r="D14" s="13"/>
      <c r="E14" s="13"/>
      <c r="F14" s="13"/>
      <c r="G14" s="13"/>
      <c r="H14" s="13"/>
      <c r="I14" s="13"/>
      <c r="J14" s="13"/>
      <c r="K14" s="13"/>
      <c r="L14" s="13"/>
    </row>
    <row r="15" spans="1:13" ht="13.5" customHeight="1">
      <c r="A15" s="13"/>
      <c r="B15" s="14"/>
      <c r="C15" s="13"/>
      <c r="D15" s="13"/>
      <c r="E15" s="13"/>
      <c r="F15" s="13"/>
      <c r="G15" s="13"/>
      <c r="H15" s="13"/>
      <c r="I15" s="13"/>
      <c r="J15" s="13"/>
      <c r="K15" s="13"/>
      <c r="L15" s="13"/>
    </row>
    <row r="16" spans="1:13" ht="13.5" customHeight="1">
      <c r="A16" s="13"/>
      <c r="B16" s="14"/>
      <c r="C16" s="14"/>
      <c r="D16" s="14"/>
      <c r="E16" s="14"/>
      <c r="F16" s="14"/>
      <c r="G16" s="14"/>
      <c r="H16" s="14"/>
      <c r="I16" s="14"/>
      <c r="J16" s="14"/>
      <c r="K16" s="14"/>
      <c r="L16" s="13"/>
    </row>
    <row r="17" spans="1:12" ht="23.25" customHeight="1">
      <c r="A17" s="13"/>
      <c r="B17" s="14"/>
      <c r="C17" s="13"/>
      <c r="D17" s="334" t="s">
        <v>0</v>
      </c>
      <c r="E17" s="335"/>
      <c r="F17" s="345" t="s">
        <v>2783</v>
      </c>
      <c r="G17" s="341"/>
      <c r="H17" s="341"/>
      <c r="I17" s="342"/>
      <c r="J17" s="16"/>
      <c r="K17" s="13"/>
      <c r="L17" s="13"/>
    </row>
    <row r="18" spans="1:12" ht="23.25" customHeight="1">
      <c r="A18" s="13"/>
      <c r="B18" s="14"/>
      <c r="C18" s="13"/>
      <c r="D18" s="334" t="s">
        <v>1</v>
      </c>
      <c r="E18" s="335"/>
      <c r="F18" s="345" t="s">
        <v>33</v>
      </c>
      <c r="G18" s="341"/>
      <c r="H18" s="341"/>
      <c r="I18" s="342"/>
      <c r="J18" s="16"/>
      <c r="K18" s="17"/>
      <c r="L18" s="17"/>
    </row>
    <row r="19" spans="1:12" ht="23.25" customHeight="1">
      <c r="A19" s="13"/>
      <c r="B19" s="14"/>
      <c r="C19" s="13"/>
      <c r="D19" s="334" t="s">
        <v>2</v>
      </c>
      <c r="E19" s="335"/>
      <c r="F19" s="340">
        <v>45621</v>
      </c>
      <c r="G19" s="341"/>
      <c r="H19" s="341"/>
      <c r="I19" s="342"/>
      <c r="J19" s="16"/>
      <c r="K19" s="13"/>
      <c r="L19" s="13"/>
    </row>
    <row r="20" spans="1:12" ht="18" customHeight="1">
      <c r="A20" s="13"/>
      <c r="B20" s="14"/>
      <c r="C20" s="13"/>
      <c r="D20" s="13"/>
      <c r="E20" s="18"/>
      <c r="F20" s="13"/>
      <c r="G20" s="18"/>
      <c r="H20" s="18"/>
      <c r="I20" s="18"/>
      <c r="J20" s="16"/>
      <c r="K20" s="13"/>
      <c r="L20" s="13"/>
    </row>
    <row r="21" spans="1:12" ht="18" customHeight="1">
      <c r="A21" s="13"/>
      <c r="B21" s="14"/>
      <c r="C21" s="13"/>
      <c r="D21" s="13"/>
      <c r="E21" s="13"/>
      <c r="F21" s="13"/>
      <c r="G21" s="13"/>
      <c r="H21" s="13"/>
      <c r="I21" s="13"/>
      <c r="J21" s="13"/>
      <c r="K21" s="13"/>
      <c r="L21" s="13"/>
    </row>
    <row r="22" spans="1:12" ht="18" customHeight="1">
      <c r="A22" s="333" t="s">
        <v>3</v>
      </c>
      <c r="B22" s="333"/>
      <c r="C22" s="333"/>
      <c r="D22" s="333"/>
      <c r="E22" s="333"/>
      <c r="F22" s="333"/>
      <c r="G22" s="333"/>
      <c r="H22" s="333"/>
      <c r="I22" s="333"/>
      <c r="J22" s="333"/>
      <c r="K22" s="333"/>
      <c r="L22" s="333"/>
    </row>
    <row r="23" spans="1:12">
      <c r="A23" s="19"/>
      <c r="B23" s="20"/>
      <c r="C23" s="21"/>
      <c r="D23" s="21"/>
      <c r="E23" s="21"/>
      <c r="F23" s="21"/>
      <c r="G23" s="21"/>
      <c r="H23" s="21"/>
      <c r="I23" s="21"/>
      <c r="J23" s="21"/>
      <c r="K23" s="21"/>
      <c r="L23" s="21"/>
    </row>
    <row r="24" spans="1:12">
      <c r="A24" s="19"/>
      <c r="B24" s="20"/>
      <c r="C24" s="21"/>
      <c r="D24" s="21"/>
      <c r="E24" s="21"/>
      <c r="F24" s="21"/>
      <c r="G24" s="21"/>
      <c r="H24" s="21"/>
      <c r="I24" s="21"/>
      <c r="J24" s="21"/>
      <c r="K24" s="21"/>
      <c r="L24" s="21"/>
    </row>
    <row r="25" spans="1:12">
      <c r="A25" s="19"/>
      <c r="B25" s="20"/>
      <c r="C25" s="21"/>
      <c r="D25" s="21"/>
      <c r="E25" s="21"/>
      <c r="F25" s="21"/>
      <c r="G25" s="21"/>
      <c r="H25" s="21"/>
      <c r="I25" s="21"/>
      <c r="J25" s="21"/>
      <c r="K25" s="21"/>
      <c r="L25" s="21"/>
    </row>
    <row r="26" spans="1:12">
      <c r="A26" s="19"/>
      <c r="B26" s="20"/>
      <c r="C26" s="21"/>
      <c r="D26" s="21"/>
      <c r="E26" s="21"/>
      <c r="F26" s="21"/>
      <c r="G26" s="21"/>
      <c r="H26" s="21"/>
      <c r="I26" s="21"/>
      <c r="J26" s="21"/>
      <c r="K26" s="21"/>
      <c r="L26" s="21"/>
    </row>
  </sheetData>
  <mergeCells count="14">
    <mergeCell ref="A22:L22"/>
    <mergeCell ref="D19:E19"/>
    <mergeCell ref="F1:G1"/>
    <mergeCell ref="B7:K7"/>
    <mergeCell ref="B8:K8"/>
    <mergeCell ref="B9:K9"/>
    <mergeCell ref="F19:I19"/>
    <mergeCell ref="H1:I1"/>
    <mergeCell ref="J1:K1"/>
    <mergeCell ref="B6:K6"/>
    <mergeCell ref="D17:E17"/>
    <mergeCell ref="F17:I17"/>
    <mergeCell ref="D18:E18"/>
    <mergeCell ref="F18:I18"/>
  </mergeCells>
  <phoneticPr fontId="3" type="noConversion"/>
  <printOptions horizontalCentered="1"/>
  <pageMargins left="0.19685039370078741" right="0.19685039370078741" top="0.78740157480314965" bottom="0.70866141732283472" header="0.78740157480314965" footer="0.19685039370078741"/>
  <pageSetup paperSize="9" fitToHeight="0" orientation="landscape" r:id="rId1"/>
  <headerFooter alignWithMargins="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showGridLines="0" zoomScaleNormal="100" zoomScaleSheetLayoutView="70" workbookViewId="0">
      <selection activeCell="H36" sqref="H36"/>
    </sheetView>
  </sheetViews>
  <sheetFormatPr defaultRowHeight="13.5"/>
  <cols>
    <col min="1" max="1" width="11.21875" style="9" customWidth="1"/>
    <col min="2" max="2" width="8.21875" style="9" customWidth="1"/>
    <col min="3" max="7" width="8.88671875" style="9"/>
    <col min="8" max="8" width="7.109375" style="9" customWidth="1"/>
    <col min="9" max="10" width="8.44140625" style="9" customWidth="1"/>
    <col min="11" max="16384" width="8.88671875" style="9"/>
  </cols>
  <sheetData>
    <row r="1" spans="1:13" ht="18" customHeight="1">
      <c r="A1" s="7"/>
      <c r="B1" s="7"/>
      <c r="C1" s="6"/>
      <c r="D1" s="6"/>
      <c r="E1" s="6"/>
      <c r="F1" s="6"/>
      <c r="G1" s="6"/>
      <c r="H1" s="6"/>
      <c r="I1" s="8"/>
      <c r="J1" s="6"/>
    </row>
    <row r="2" spans="1:13" ht="21">
      <c r="A2" s="7"/>
      <c r="B2" s="7"/>
      <c r="C2" s="6"/>
      <c r="D2" s="6"/>
      <c r="E2" s="350" t="s">
        <v>4</v>
      </c>
      <c r="F2" s="350"/>
      <c r="G2" s="6"/>
      <c r="H2" s="6"/>
      <c r="I2" s="8"/>
      <c r="J2" s="6"/>
    </row>
    <row r="3" spans="1:13" ht="18" customHeight="1">
      <c r="A3" s="31"/>
      <c r="B3" s="31"/>
      <c r="C3" s="32"/>
      <c r="D3" s="32"/>
      <c r="E3" s="32"/>
      <c r="F3" s="32"/>
      <c r="G3" s="32"/>
      <c r="H3" s="32"/>
      <c r="I3" s="33"/>
      <c r="J3" s="32"/>
      <c r="K3" s="34"/>
      <c r="L3" s="34"/>
      <c r="M3" s="34"/>
    </row>
    <row r="4" spans="1:13" s="43" customFormat="1" ht="18" customHeight="1">
      <c r="A4" s="40" t="s">
        <v>5</v>
      </c>
      <c r="B4" s="41" t="s">
        <v>6</v>
      </c>
      <c r="C4" s="351" t="s">
        <v>7</v>
      </c>
      <c r="D4" s="352"/>
      <c r="E4" s="352"/>
      <c r="F4" s="352"/>
      <c r="G4" s="352"/>
      <c r="H4" s="353"/>
      <c r="I4" s="40" t="s">
        <v>8</v>
      </c>
      <c r="J4" s="40" t="s">
        <v>9</v>
      </c>
      <c r="K4" s="42"/>
      <c r="L4" s="42"/>
      <c r="M4" s="42"/>
    </row>
    <row r="5" spans="1:13" ht="18" customHeight="1">
      <c r="A5" s="35">
        <v>45607</v>
      </c>
      <c r="B5" s="36" t="s">
        <v>35</v>
      </c>
      <c r="C5" s="354" t="s">
        <v>34</v>
      </c>
      <c r="D5" s="355"/>
      <c r="E5" s="355"/>
      <c r="F5" s="355"/>
      <c r="G5" s="355"/>
      <c r="H5" s="356"/>
      <c r="I5" s="35" t="s">
        <v>2235</v>
      </c>
      <c r="J5" s="294" t="s">
        <v>2232</v>
      </c>
      <c r="K5" s="34"/>
      <c r="L5" s="34"/>
      <c r="M5" s="34"/>
    </row>
    <row r="6" spans="1:13" ht="18" customHeight="1">
      <c r="A6" s="35">
        <v>45621</v>
      </c>
      <c r="B6" s="36" t="s">
        <v>2781</v>
      </c>
      <c r="C6" s="354" t="s">
        <v>2782</v>
      </c>
      <c r="D6" s="355"/>
      <c r="E6" s="355"/>
      <c r="F6" s="355"/>
      <c r="G6" s="355"/>
      <c r="H6" s="356"/>
      <c r="I6" s="35" t="s">
        <v>2783</v>
      </c>
      <c r="J6" s="294" t="s">
        <v>2784</v>
      </c>
      <c r="K6" s="34"/>
      <c r="L6" s="34"/>
      <c r="M6" s="34"/>
    </row>
    <row r="7" spans="1:13" ht="18" customHeight="1">
      <c r="A7" s="35">
        <v>45621</v>
      </c>
      <c r="B7" s="36" t="s">
        <v>2795</v>
      </c>
      <c r="C7" s="346" t="s">
        <v>2796</v>
      </c>
      <c r="D7" s="347"/>
      <c r="E7" s="347"/>
      <c r="F7" s="347"/>
      <c r="G7" s="347"/>
      <c r="H7" s="348"/>
      <c r="I7" s="35" t="s">
        <v>2235</v>
      </c>
      <c r="J7" s="294" t="s">
        <v>2784</v>
      </c>
      <c r="K7" s="34"/>
      <c r="L7" s="34"/>
      <c r="M7" s="34"/>
    </row>
    <row r="8" spans="1:13" ht="18" customHeight="1">
      <c r="A8" s="35">
        <v>45622</v>
      </c>
      <c r="B8" s="36" t="s">
        <v>2803</v>
      </c>
      <c r="C8" s="346" t="s">
        <v>2802</v>
      </c>
      <c r="D8" s="347"/>
      <c r="E8" s="347"/>
      <c r="F8" s="347"/>
      <c r="G8" s="347"/>
      <c r="H8" s="348"/>
      <c r="I8" s="35" t="s">
        <v>2235</v>
      </c>
      <c r="J8" s="294" t="s">
        <v>2784</v>
      </c>
      <c r="K8" s="34"/>
      <c r="L8" s="34"/>
      <c r="M8" s="34"/>
    </row>
    <row r="9" spans="1:13" ht="18" customHeight="1">
      <c r="A9" s="35"/>
      <c r="B9" s="288"/>
      <c r="C9" s="349"/>
      <c r="D9" s="349"/>
      <c r="E9" s="349"/>
      <c r="F9" s="349"/>
      <c r="G9" s="349"/>
      <c r="H9" s="349"/>
      <c r="I9" s="35"/>
      <c r="J9" s="294"/>
      <c r="K9" s="34"/>
      <c r="L9" s="34"/>
      <c r="M9" s="34"/>
    </row>
    <row r="10" spans="1:13" ht="18" customHeight="1">
      <c r="A10" s="7"/>
      <c r="B10" s="7"/>
      <c r="C10" s="6"/>
      <c r="D10" s="6"/>
      <c r="E10" s="6"/>
      <c r="F10" s="6"/>
      <c r="G10" s="6"/>
      <c r="H10" s="6"/>
      <c r="I10" s="6"/>
      <c r="J10" s="6"/>
    </row>
    <row r="11" spans="1:13">
      <c r="A11" s="7"/>
      <c r="B11" s="7"/>
      <c r="C11" s="6"/>
      <c r="D11" s="6"/>
      <c r="E11" s="6"/>
      <c r="F11" s="6"/>
      <c r="G11" s="6"/>
      <c r="H11" s="6"/>
      <c r="I11" s="6"/>
      <c r="J11" s="6"/>
    </row>
    <row r="12" spans="1:13">
      <c r="A12" s="7"/>
      <c r="B12" s="7"/>
      <c r="C12" s="6"/>
      <c r="D12" s="6"/>
      <c r="E12" s="6"/>
      <c r="F12" s="6"/>
      <c r="G12" s="6"/>
      <c r="H12" s="6"/>
      <c r="I12" s="6"/>
      <c r="J12" s="6"/>
    </row>
    <row r="13" spans="1:13">
      <c r="A13" s="7"/>
      <c r="B13" s="7"/>
      <c r="C13" s="6"/>
      <c r="D13" s="6"/>
      <c r="E13" s="6"/>
      <c r="F13" s="6"/>
      <c r="G13" s="6"/>
      <c r="H13" s="6"/>
      <c r="I13" s="6"/>
      <c r="J13" s="6"/>
    </row>
    <row r="14" spans="1:13">
      <c r="A14" s="7"/>
      <c r="B14" s="7"/>
      <c r="C14" s="6"/>
      <c r="D14" s="6"/>
      <c r="E14" s="6"/>
      <c r="F14" s="6"/>
      <c r="G14" s="6"/>
      <c r="H14" s="6"/>
      <c r="I14" s="6"/>
      <c r="J14" s="6"/>
    </row>
  </sheetData>
  <mergeCells count="7">
    <mergeCell ref="C7:H7"/>
    <mergeCell ref="C8:H8"/>
    <mergeCell ref="C9:H9"/>
    <mergeCell ref="E2:F2"/>
    <mergeCell ref="C4:H4"/>
    <mergeCell ref="C5:H5"/>
    <mergeCell ref="C6:H6"/>
  </mergeCells>
  <phoneticPr fontId="3" type="noConversion"/>
  <printOptions horizontalCentered="1"/>
  <pageMargins left="0.19685039370078741" right="0.19685039370078741" top="0.78740157480314965" bottom="0.59055118110236227" header="0.19685039370078741" footer="0.19685039370078741"/>
  <pageSetup paperSize="9" fitToHeight="0" orientation="landscape" r:id="rId1"/>
  <headerFooter alignWithMargins="0">
    <oddHeader>&amp;R&amp;"맑은 고딕,보통"&amp;F</oddHeader>
    <oddFooter>&amp;L&amp;G&amp;R&amp;"맑은 고딕,보통"Page &amp;P/&amp;N</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Y32"/>
  <sheetViews>
    <sheetView zoomScale="115" zoomScaleNormal="115" workbookViewId="0">
      <pane ySplit="1" topLeftCell="A2" activePane="bottomLeft" state="frozen"/>
      <selection pane="bottomLeft" activeCell="G5" sqref="G5"/>
    </sheetView>
  </sheetViews>
  <sheetFormatPr defaultRowHeight="15"/>
  <cols>
    <col min="1" max="1" width="4.77734375" style="51" customWidth="1"/>
    <col min="2" max="2" width="7.21875" style="51" customWidth="1"/>
    <col min="3" max="3" width="7" style="167" customWidth="1"/>
    <col min="4" max="4" width="6" style="167" customWidth="1"/>
    <col min="5" max="5" width="6.77734375" style="167" customWidth="1"/>
    <col min="6" max="6" width="9.88671875" style="167" customWidth="1"/>
    <col min="7" max="7" width="7" style="51" customWidth="1"/>
    <col min="8" max="8" width="10.6640625" style="292" customWidth="1"/>
    <col min="9" max="9" width="71.88671875" style="52" customWidth="1"/>
    <col min="10" max="10" width="5.5546875" style="168" customWidth="1"/>
    <col min="11" max="11" width="9.5546875" style="51" customWidth="1"/>
    <col min="12" max="12" width="8.6640625" style="51" customWidth="1"/>
    <col min="13" max="13" width="8.44140625" style="51" customWidth="1"/>
    <col min="14" max="14" width="7.5546875" style="52" customWidth="1"/>
    <col min="15" max="15" width="3.88671875" style="52" customWidth="1"/>
    <col min="16" max="16" width="13.21875" style="51" customWidth="1"/>
    <col min="17" max="17" width="36" style="52" customWidth="1"/>
    <col min="18" max="18" width="7.6640625" style="52" customWidth="1"/>
    <col min="19" max="19" width="27.77734375" style="52" customWidth="1"/>
    <col min="20" max="20" width="7.21875" style="52" customWidth="1"/>
    <col min="21" max="21" width="5.21875" style="152" customWidth="1"/>
    <col min="22" max="22" width="6.21875" style="153" customWidth="1"/>
    <col min="23" max="23" width="5.5546875" style="153" customWidth="1"/>
    <col min="24" max="24" width="5.88671875" style="154" customWidth="1"/>
    <col min="25" max="25" width="10.88671875" style="51" customWidth="1"/>
    <col min="26" max="16384" width="8.88671875" style="52"/>
  </cols>
  <sheetData>
    <row r="1" spans="1:25" s="150" customFormat="1" ht="60">
      <c r="A1" s="44" t="s">
        <v>667</v>
      </c>
      <c r="B1" s="44" t="s">
        <v>668</v>
      </c>
      <c r="C1" s="44" t="s">
        <v>669</v>
      </c>
      <c r="D1" s="44" t="s">
        <v>670</v>
      </c>
      <c r="E1" s="44" t="s">
        <v>671</v>
      </c>
      <c r="F1" s="45" t="s">
        <v>672</v>
      </c>
      <c r="G1" s="44" t="s">
        <v>13</v>
      </c>
      <c r="H1" s="44" t="s">
        <v>2192</v>
      </c>
      <c r="I1" s="44" t="s">
        <v>2154</v>
      </c>
      <c r="J1" s="44" t="s">
        <v>673</v>
      </c>
      <c r="K1" s="44" t="s">
        <v>674</v>
      </c>
      <c r="L1" s="44" t="s">
        <v>675</v>
      </c>
      <c r="M1" s="291" t="s">
        <v>836</v>
      </c>
      <c r="N1" s="46" t="s">
        <v>676</v>
      </c>
      <c r="O1" s="44" t="s">
        <v>677</v>
      </c>
      <c r="P1" s="44" t="s">
        <v>678</v>
      </c>
      <c r="Q1" s="44" t="s">
        <v>679</v>
      </c>
      <c r="R1" s="289" t="s">
        <v>2087</v>
      </c>
      <c r="S1" s="44" t="s">
        <v>2088</v>
      </c>
      <c r="T1" s="44" t="s">
        <v>2215</v>
      </c>
      <c r="U1" s="290" t="s">
        <v>680</v>
      </c>
      <c r="V1" s="106" t="s">
        <v>681</v>
      </c>
      <c r="W1" s="251" t="s">
        <v>844</v>
      </c>
      <c r="X1" s="252" t="s">
        <v>867</v>
      </c>
      <c r="Y1" s="253" t="s">
        <v>872</v>
      </c>
    </row>
    <row r="2" spans="1:25" s="158" customFormat="1" ht="84">
      <c r="A2" s="97" t="s">
        <v>2155</v>
      </c>
      <c r="B2" s="76" t="s">
        <v>2090</v>
      </c>
      <c r="C2" s="81" t="s">
        <v>2128</v>
      </c>
      <c r="D2" s="81"/>
      <c r="E2" s="81" t="s">
        <v>18</v>
      </c>
      <c r="F2" s="95" t="s">
        <v>42</v>
      </c>
      <c r="G2" s="81" t="s">
        <v>2161</v>
      </c>
      <c r="H2" s="74" t="s">
        <v>2091</v>
      </c>
      <c r="I2" s="75" t="s">
        <v>2201</v>
      </c>
      <c r="J2" s="49"/>
      <c r="K2" s="95" t="s">
        <v>2089</v>
      </c>
      <c r="L2" s="38"/>
      <c r="M2" s="141"/>
      <c r="N2" s="138"/>
      <c r="O2" s="155"/>
      <c r="P2" s="112"/>
      <c r="Q2" s="78" t="s">
        <v>2138</v>
      </c>
      <c r="R2" s="78"/>
      <c r="S2" s="78"/>
      <c r="T2" s="78"/>
      <c r="U2" s="81"/>
      <c r="V2" s="81"/>
      <c r="W2" s="250"/>
      <c r="X2" s="157"/>
      <c r="Y2" s="54"/>
    </row>
    <row r="3" spans="1:25" s="158" customFormat="1" ht="24">
      <c r="A3" s="97" t="s">
        <v>2155</v>
      </c>
      <c r="B3" s="76" t="s">
        <v>2090</v>
      </c>
      <c r="C3" s="81" t="s">
        <v>2129</v>
      </c>
      <c r="D3" s="81"/>
      <c r="E3" s="81" t="s">
        <v>18</v>
      </c>
      <c r="F3" s="95" t="s">
        <v>42</v>
      </c>
      <c r="G3" s="81" t="s">
        <v>2162</v>
      </c>
      <c r="H3" s="74" t="s">
        <v>2130</v>
      </c>
      <c r="I3" s="87" t="s">
        <v>2094</v>
      </c>
      <c r="J3" s="49"/>
      <c r="K3" s="95" t="s">
        <v>2089</v>
      </c>
      <c r="L3" s="38"/>
      <c r="M3" s="258"/>
      <c r="N3" s="259"/>
      <c r="O3" s="155"/>
      <c r="P3" s="112"/>
      <c r="Q3" s="78"/>
      <c r="R3" s="78"/>
      <c r="S3" s="78"/>
      <c r="T3" s="78"/>
      <c r="U3" s="81"/>
      <c r="V3" s="81"/>
      <c r="W3" s="250"/>
      <c r="X3" s="157"/>
      <c r="Y3" s="54"/>
    </row>
    <row r="4" spans="1:25" s="158" customFormat="1" ht="24">
      <c r="A4" s="97" t="s">
        <v>2155</v>
      </c>
      <c r="B4" s="76" t="s">
        <v>2090</v>
      </c>
      <c r="C4" s="81" t="s">
        <v>2128</v>
      </c>
      <c r="D4" s="81"/>
      <c r="E4" s="81" t="s">
        <v>18</v>
      </c>
      <c r="F4" s="95" t="s">
        <v>42</v>
      </c>
      <c r="G4" s="81" t="s">
        <v>2163</v>
      </c>
      <c r="H4" s="74" t="s">
        <v>2092</v>
      </c>
      <c r="I4" s="87" t="s">
        <v>2093</v>
      </c>
      <c r="J4" s="49"/>
      <c r="K4" s="95" t="s">
        <v>2089</v>
      </c>
      <c r="L4" s="38"/>
      <c r="M4" s="258"/>
      <c r="N4" s="259"/>
      <c r="O4" s="155"/>
      <c r="P4" s="112"/>
      <c r="Q4" s="78"/>
      <c r="R4" s="78"/>
      <c r="S4" s="78"/>
      <c r="T4" s="78"/>
      <c r="U4" s="81"/>
      <c r="V4" s="81"/>
      <c r="W4" s="250"/>
      <c r="X4" s="157"/>
      <c r="Y4" s="54"/>
    </row>
    <row r="5" spans="1:25" s="151" customFormat="1" ht="361.5" customHeight="1">
      <c r="A5" s="97" t="s">
        <v>2156</v>
      </c>
      <c r="B5" s="76" t="s">
        <v>2095</v>
      </c>
      <c r="C5" s="81" t="s">
        <v>2131</v>
      </c>
      <c r="D5" s="81" t="s">
        <v>45</v>
      </c>
      <c r="E5" s="81" t="s">
        <v>18</v>
      </c>
      <c r="F5" s="95" t="s">
        <v>42</v>
      </c>
      <c r="G5" s="81" t="s">
        <v>2164</v>
      </c>
      <c r="H5" s="85" t="s">
        <v>2096</v>
      </c>
      <c r="I5" s="87" t="s">
        <v>2230</v>
      </c>
      <c r="J5" s="49"/>
      <c r="K5" s="95" t="s">
        <v>2089</v>
      </c>
      <c r="L5" s="38"/>
      <c r="M5" s="141"/>
      <c r="N5" s="138"/>
      <c r="O5" s="155"/>
      <c r="P5" s="112"/>
      <c r="Q5" s="78" t="s">
        <v>2194</v>
      </c>
      <c r="R5" s="78"/>
      <c r="S5" s="78"/>
      <c r="T5" s="78"/>
      <c r="U5" s="81"/>
      <c r="V5" s="81"/>
      <c r="W5" s="250"/>
      <c r="X5" s="159"/>
      <c r="Y5" s="53"/>
    </row>
    <row r="6" spans="1:25" s="151" customFormat="1" ht="84">
      <c r="A6" s="97" t="s">
        <v>2156</v>
      </c>
      <c r="B6" s="76" t="s">
        <v>2095</v>
      </c>
      <c r="C6" s="81" t="s">
        <v>2131</v>
      </c>
      <c r="D6" s="81"/>
      <c r="E6" s="81" t="s">
        <v>18</v>
      </c>
      <c r="F6" s="95" t="s">
        <v>42</v>
      </c>
      <c r="G6" s="81" t="s">
        <v>2165</v>
      </c>
      <c r="H6" s="85" t="s">
        <v>2098</v>
      </c>
      <c r="I6" s="87" t="s">
        <v>2196</v>
      </c>
      <c r="J6" s="49"/>
      <c r="K6" s="95" t="s">
        <v>2089</v>
      </c>
      <c r="L6" s="38"/>
      <c r="M6" s="258"/>
      <c r="N6" s="259"/>
      <c r="O6" s="155"/>
      <c r="P6" s="112"/>
      <c r="Q6" s="78" t="s">
        <v>2141</v>
      </c>
      <c r="R6" s="78"/>
      <c r="S6" s="78"/>
      <c r="T6" s="78"/>
      <c r="U6" s="81"/>
      <c r="V6" s="81"/>
      <c r="W6" s="250"/>
      <c r="X6" s="159"/>
      <c r="Y6" s="53"/>
    </row>
    <row r="7" spans="1:25" s="151" customFormat="1" ht="48">
      <c r="A7" s="97" t="s">
        <v>2156</v>
      </c>
      <c r="B7" s="76" t="s">
        <v>2095</v>
      </c>
      <c r="C7" s="81" t="s">
        <v>2131</v>
      </c>
      <c r="D7" s="81"/>
      <c r="E7" s="81" t="s">
        <v>18</v>
      </c>
      <c r="F7" s="95" t="s">
        <v>42</v>
      </c>
      <c r="G7" s="81" t="s">
        <v>2166</v>
      </c>
      <c r="H7" s="74" t="s">
        <v>2097</v>
      </c>
      <c r="I7" s="87" t="s">
        <v>2197</v>
      </c>
      <c r="J7" s="49"/>
      <c r="K7" s="95" t="s">
        <v>2089</v>
      </c>
      <c r="L7" s="38"/>
      <c r="M7" s="141"/>
      <c r="N7" s="138"/>
      <c r="O7" s="155"/>
      <c r="P7" s="112"/>
      <c r="Q7" s="78" t="s">
        <v>2140</v>
      </c>
      <c r="R7" s="78"/>
      <c r="S7" s="78"/>
      <c r="T7" s="78" t="s">
        <v>2202</v>
      </c>
      <c r="U7" s="81"/>
      <c r="V7" s="81"/>
      <c r="W7" s="250"/>
      <c r="X7" s="159"/>
      <c r="Y7" s="53"/>
    </row>
    <row r="8" spans="1:25" s="151" customFormat="1" ht="221.25" customHeight="1">
      <c r="A8" s="97" t="s">
        <v>2156</v>
      </c>
      <c r="B8" s="76" t="s">
        <v>2095</v>
      </c>
      <c r="C8" s="81" t="s">
        <v>2132</v>
      </c>
      <c r="D8" s="81"/>
      <c r="E8" s="81" t="s">
        <v>18</v>
      </c>
      <c r="F8" s="95" t="s">
        <v>42</v>
      </c>
      <c r="G8" s="81" t="s">
        <v>2167</v>
      </c>
      <c r="H8" s="74" t="s">
        <v>2099</v>
      </c>
      <c r="I8" s="87" t="s">
        <v>2203</v>
      </c>
      <c r="J8" s="49"/>
      <c r="K8" s="95" t="s">
        <v>2089</v>
      </c>
      <c r="L8" s="38"/>
      <c r="M8" s="141"/>
      <c r="N8" s="138"/>
      <c r="O8" s="155"/>
      <c r="P8" s="112"/>
      <c r="Q8" s="78" t="s">
        <v>2143</v>
      </c>
      <c r="R8" s="78"/>
      <c r="S8" s="78"/>
      <c r="T8" s="78" t="s">
        <v>2202</v>
      </c>
      <c r="U8" s="81"/>
      <c r="V8" s="81"/>
      <c r="W8" s="97"/>
      <c r="X8" s="159"/>
      <c r="Y8" s="53"/>
    </row>
    <row r="9" spans="1:25" s="151" customFormat="1" ht="96">
      <c r="A9" s="97" t="s">
        <v>2156</v>
      </c>
      <c r="B9" s="76" t="s">
        <v>2095</v>
      </c>
      <c r="C9" s="81" t="s">
        <v>2132</v>
      </c>
      <c r="D9" s="81"/>
      <c r="E9" s="81" t="s">
        <v>18</v>
      </c>
      <c r="F9" s="95" t="s">
        <v>42</v>
      </c>
      <c r="G9" s="81" t="s">
        <v>2168</v>
      </c>
      <c r="H9" s="74" t="s">
        <v>2100</v>
      </c>
      <c r="I9" s="87" t="s">
        <v>2204</v>
      </c>
      <c r="J9" s="49"/>
      <c r="K9" s="95" t="s">
        <v>2089</v>
      </c>
      <c r="L9" s="38"/>
      <c r="M9" s="258"/>
      <c r="N9" s="259"/>
      <c r="O9" s="155"/>
      <c r="P9" s="112"/>
      <c r="Q9" s="78" t="s">
        <v>2142</v>
      </c>
      <c r="R9" s="78"/>
      <c r="S9" s="78"/>
      <c r="T9" s="78"/>
      <c r="U9" s="81"/>
      <c r="V9" s="81"/>
      <c r="W9" s="250"/>
      <c r="X9" s="159"/>
      <c r="Y9" s="53"/>
    </row>
    <row r="10" spans="1:25" s="151" customFormat="1" ht="204">
      <c r="A10" s="97" t="s">
        <v>2156</v>
      </c>
      <c r="B10" s="76" t="s">
        <v>2095</v>
      </c>
      <c r="C10" s="81" t="s">
        <v>2131</v>
      </c>
      <c r="D10" s="81"/>
      <c r="E10" s="81" t="s">
        <v>18</v>
      </c>
      <c r="F10" s="95" t="s">
        <v>42</v>
      </c>
      <c r="G10" s="81" t="s">
        <v>2169</v>
      </c>
      <c r="H10" s="74" t="s">
        <v>2101</v>
      </c>
      <c r="I10" s="87" t="s">
        <v>2205</v>
      </c>
      <c r="J10" s="49"/>
      <c r="K10" s="95" t="s">
        <v>2089</v>
      </c>
      <c r="L10" s="38"/>
      <c r="M10" s="141"/>
      <c r="N10" s="138"/>
      <c r="O10" s="155"/>
      <c r="P10" s="112"/>
      <c r="Q10" s="78" t="s">
        <v>2144</v>
      </c>
      <c r="R10" s="78"/>
      <c r="S10" s="78"/>
      <c r="T10" s="78"/>
      <c r="U10" s="81"/>
      <c r="V10" s="81"/>
      <c r="W10" s="250"/>
      <c r="X10" s="159"/>
      <c r="Y10" s="53"/>
    </row>
    <row r="11" spans="1:25" s="151" customFormat="1" ht="96">
      <c r="A11" s="97" t="s">
        <v>2156</v>
      </c>
      <c r="B11" s="76" t="s">
        <v>2095</v>
      </c>
      <c r="C11" s="81" t="s">
        <v>2131</v>
      </c>
      <c r="D11" s="81"/>
      <c r="E11" s="81" t="s">
        <v>18</v>
      </c>
      <c r="F11" s="95" t="s">
        <v>42</v>
      </c>
      <c r="G11" s="81" t="s">
        <v>2170</v>
      </c>
      <c r="H11" s="74" t="s">
        <v>2102</v>
      </c>
      <c r="I11" s="87" t="s">
        <v>2206</v>
      </c>
      <c r="J11" s="49"/>
      <c r="K11" s="95" t="s">
        <v>2089</v>
      </c>
      <c r="L11" s="38"/>
      <c r="M11" s="258"/>
      <c r="N11" s="259"/>
      <c r="O11" s="155"/>
      <c r="P11" s="112"/>
      <c r="Q11" s="78"/>
      <c r="R11" s="78"/>
      <c r="S11" s="78"/>
      <c r="T11" s="78"/>
      <c r="U11" s="81"/>
      <c r="V11" s="81"/>
      <c r="W11" s="250"/>
      <c r="X11" s="159"/>
      <c r="Y11" s="53"/>
    </row>
    <row r="12" spans="1:25" s="151" customFormat="1" ht="132">
      <c r="A12" s="97" t="s">
        <v>2156</v>
      </c>
      <c r="B12" s="76" t="s">
        <v>2095</v>
      </c>
      <c r="C12" s="81" t="s">
        <v>2131</v>
      </c>
      <c r="D12" s="81"/>
      <c r="E12" s="81" t="s">
        <v>18</v>
      </c>
      <c r="F12" s="95" t="s">
        <v>42</v>
      </c>
      <c r="G12" s="81" t="s">
        <v>2171</v>
      </c>
      <c r="H12" s="74" t="s">
        <v>2103</v>
      </c>
      <c r="I12" s="87" t="s">
        <v>2198</v>
      </c>
      <c r="J12" s="49"/>
      <c r="K12" s="95" t="s">
        <v>2089</v>
      </c>
      <c r="L12" s="38"/>
      <c r="M12" s="258"/>
      <c r="N12" s="259"/>
      <c r="O12" s="155"/>
      <c r="P12" s="112"/>
      <c r="Q12" s="78" t="s">
        <v>2152</v>
      </c>
      <c r="R12" s="78"/>
      <c r="S12" s="78"/>
      <c r="T12" s="78"/>
      <c r="U12" s="81"/>
      <c r="V12" s="81"/>
      <c r="W12" s="250"/>
      <c r="X12" s="159"/>
      <c r="Y12" s="53"/>
    </row>
    <row r="13" spans="1:25" s="151" customFormat="1" ht="409.5" customHeight="1">
      <c r="A13" s="97" t="s">
        <v>2157</v>
      </c>
      <c r="B13" s="76" t="s">
        <v>2105</v>
      </c>
      <c r="C13" s="81" t="s">
        <v>2132</v>
      </c>
      <c r="D13" s="81"/>
      <c r="E13" s="81" t="s">
        <v>18</v>
      </c>
      <c r="F13" s="95" t="s">
        <v>42</v>
      </c>
      <c r="G13" s="81" t="s">
        <v>2172</v>
      </c>
      <c r="H13" s="74" t="s">
        <v>2104</v>
      </c>
      <c r="I13" s="87" t="s">
        <v>2207</v>
      </c>
      <c r="J13" s="49"/>
      <c r="K13" s="95" t="s">
        <v>2089</v>
      </c>
      <c r="L13" s="38"/>
      <c r="M13" s="258"/>
      <c r="N13" s="259"/>
      <c r="O13" s="155"/>
      <c r="P13" s="112"/>
      <c r="Q13" s="78" t="s">
        <v>2145</v>
      </c>
      <c r="R13" s="78"/>
      <c r="S13" s="78"/>
      <c r="T13" s="78" t="s">
        <v>2208</v>
      </c>
      <c r="U13" s="81"/>
      <c r="V13" s="81"/>
      <c r="W13" s="97"/>
      <c r="X13" s="159"/>
      <c r="Y13" s="53"/>
    </row>
    <row r="14" spans="1:25" s="151" customFormat="1" ht="408">
      <c r="A14" s="97" t="s">
        <v>2157</v>
      </c>
      <c r="B14" s="76" t="s">
        <v>2105</v>
      </c>
      <c r="C14" s="81" t="s">
        <v>2131</v>
      </c>
      <c r="D14" s="81"/>
      <c r="E14" s="81" t="s">
        <v>18</v>
      </c>
      <c r="F14" s="95" t="s">
        <v>42</v>
      </c>
      <c r="G14" s="81" t="s">
        <v>2173</v>
      </c>
      <c r="H14" s="74" t="s">
        <v>2106</v>
      </c>
      <c r="I14" s="87" t="s">
        <v>2209</v>
      </c>
      <c r="J14" s="49"/>
      <c r="K14" s="95" t="s">
        <v>2089</v>
      </c>
      <c r="L14" s="38"/>
      <c r="M14" s="258"/>
      <c r="N14" s="259"/>
      <c r="O14" s="155"/>
      <c r="P14" s="112"/>
      <c r="Q14" s="78" t="s">
        <v>2138</v>
      </c>
      <c r="R14" s="78"/>
      <c r="S14" s="78"/>
      <c r="T14" s="78"/>
      <c r="U14" s="81"/>
      <c r="V14" s="81"/>
      <c r="W14" s="250"/>
      <c r="X14" s="159"/>
      <c r="Y14" s="53"/>
    </row>
    <row r="15" spans="1:25" s="151" customFormat="1" ht="96">
      <c r="A15" s="97" t="s">
        <v>2157</v>
      </c>
      <c r="B15" s="76" t="s">
        <v>2105</v>
      </c>
      <c r="C15" s="81" t="s">
        <v>2131</v>
      </c>
      <c r="D15" s="81"/>
      <c r="E15" s="81" t="s">
        <v>18</v>
      </c>
      <c r="F15" s="95" t="s">
        <v>42</v>
      </c>
      <c r="G15" s="81" t="s">
        <v>2174</v>
      </c>
      <c r="H15" s="74" t="s">
        <v>2107</v>
      </c>
      <c r="I15" s="87" t="s">
        <v>2210</v>
      </c>
      <c r="J15" s="49"/>
      <c r="K15" s="95" t="s">
        <v>2089</v>
      </c>
      <c r="L15" s="38"/>
      <c r="M15" s="258"/>
      <c r="N15" s="259"/>
      <c r="O15" s="155"/>
      <c r="P15" s="112"/>
      <c r="Q15" s="78" t="s">
        <v>2195</v>
      </c>
      <c r="R15" s="78"/>
      <c r="S15" s="78"/>
      <c r="T15" s="78"/>
      <c r="U15" s="81"/>
      <c r="V15" s="81"/>
      <c r="W15" s="250"/>
      <c r="X15" s="159"/>
      <c r="Y15" s="53"/>
    </row>
    <row r="16" spans="1:25" s="151" customFormat="1" ht="120">
      <c r="A16" s="97" t="s">
        <v>2157</v>
      </c>
      <c r="B16" s="76" t="s">
        <v>2105</v>
      </c>
      <c r="C16" s="81" t="s">
        <v>2131</v>
      </c>
      <c r="D16" s="81"/>
      <c r="E16" s="81" t="s">
        <v>18</v>
      </c>
      <c r="F16" s="95" t="s">
        <v>42</v>
      </c>
      <c r="G16" s="81" t="s">
        <v>2175</v>
      </c>
      <c r="H16" s="74" t="s">
        <v>2108</v>
      </c>
      <c r="I16" s="87" t="s">
        <v>2211</v>
      </c>
      <c r="J16" s="49"/>
      <c r="K16" s="95" t="s">
        <v>2089</v>
      </c>
      <c r="L16" s="38"/>
      <c r="M16" s="258"/>
      <c r="N16" s="259"/>
      <c r="O16" s="155"/>
      <c r="P16" s="112"/>
      <c r="Q16" s="78" t="s">
        <v>2146</v>
      </c>
      <c r="R16" s="78"/>
      <c r="S16" s="78"/>
      <c r="T16" s="78" t="s">
        <v>2208</v>
      </c>
      <c r="U16" s="81"/>
      <c r="V16" s="81"/>
      <c r="W16" s="250"/>
      <c r="X16" s="159"/>
      <c r="Y16" s="53"/>
    </row>
    <row r="17" spans="1:25" s="151" customFormat="1" ht="285" customHeight="1">
      <c r="A17" s="97" t="s">
        <v>2158</v>
      </c>
      <c r="B17" s="76" t="s">
        <v>2109</v>
      </c>
      <c r="C17" s="81" t="s">
        <v>2132</v>
      </c>
      <c r="D17" s="81"/>
      <c r="E17" s="81" t="s">
        <v>18</v>
      </c>
      <c r="F17" s="95" t="s">
        <v>42</v>
      </c>
      <c r="G17" s="81" t="s">
        <v>2176</v>
      </c>
      <c r="H17" s="74" t="s">
        <v>2110</v>
      </c>
      <c r="I17" s="87" t="s">
        <v>2213</v>
      </c>
      <c r="J17" s="49"/>
      <c r="K17" s="95" t="s">
        <v>2089</v>
      </c>
      <c r="L17" s="38"/>
      <c r="M17" s="258"/>
      <c r="N17" s="259"/>
      <c r="O17" s="155"/>
      <c r="P17" s="112"/>
      <c r="Q17" s="78" t="s">
        <v>2138</v>
      </c>
      <c r="R17" s="78"/>
      <c r="S17" s="78"/>
      <c r="T17" s="78" t="s">
        <v>2212</v>
      </c>
      <c r="U17" s="81"/>
      <c r="V17" s="81"/>
      <c r="W17" s="250"/>
      <c r="X17" s="159"/>
      <c r="Y17" s="53"/>
    </row>
    <row r="18" spans="1:25" s="151" customFormat="1" ht="156">
      <c r="A18" s="97" t="s">
        <v>2158</v>
      </c>
      <c r="B18" s="76" t="s">
        <v>2109</v>
      </c>
      <c r="C18" s="81" t="s">
        <v>2131</v>
      </c>
      <c r="D18" s="81"/>
      <c r="E18" s="81" t="s">
        <v>18</v>
      </c>
      <c r="F18" s="95" t="s">
        <v>42</v>
      </c>
      <c r="G18" s="81" t="s">
        <v>2177</v>
      </c>
      <c r="H18" s="74" t="s">
        <v>2111</v>
      </c>
      <c r="I18" s="87" t="s">
        <v>2214</v>
      </c>
      <c r="J18" s="49"/>
      <c r="K18" s="95" t="s">
        <v>2089</v>
      </c>
      <c r="L18" s="38"/>
      <c r="M18" s="258"/>
      <c r="N18" s="259"/>
      <c r="O18" s="155"/>
      <c r="P18" s="112"/>
      <c r="Q18" s="78" t="s">
        <v>2137</v>
      </c>
      <c r="R18" s="78"/>
      <c r="S18" s="78"/>
      <c r="T18" s="78"/>
      <c r="U18" s="81"/>
      <c r="V18" s="81"/>
      <c r="W18" s="250"/>
      <c r="X18" s="159"/>
      <c r="Y18" s="53"/>
    </row>
    <row r="19" spans="1:25" s="151" customFormat="1" ht="228">
      <c r="A19" s="97" t="s">
        <v>2158</v>
      </c>
      <c r="B19" s="76" t="s">
        <v>2109</v>
      </c>
      <c r="C19" s="81" t="s">
        <v>2131</v>
      </c>
      <c r="D19" s="81"/>
      <c r="E19" s="81" t="s">
        <v>18</v>
      </c>
      <c r="F19" s="95" t="s">
        <v>42</v>
      </c>
      <c r="G19" s="81" t="s">
        <v>2178</v>
      </c>
      <c r="H19" s="74" t="s">
        <v>2112</v>
      </c>
      <c r="I19" s="87" t="s">
        <v>2216</v>
      </c>
      <c r="J19" s="49"/>
      <c r="K19" s="95" t="s">
        <v>2089</v>
      </c>
      <c r="L19" s="38"/>
      <c r="M19" s="258"/>
      <c r="N19" s="259"/>
      <c r="O19" s="155"/>
      <c r="P19" s="112"/>
      <c r="Q19" s="78" t="s">
        <v>2147</v>
      </c>
      <c r="R19" s="78"/>
      <c r="S19" s="78"/>
      <c r="T19" s="78" t="s">
        <v>2208</v>
      </c>
      <c r="U19" s="81"/>
      <c r="V19" s="81"/>
      <c r="W19" s="250"/>
      <c r="X19" s="159"/>
      <c r="Y19" s="53"/>
    </row>
    <row r="20" spans="1:25" s="151" customFormat="1" ht="24">
      <c r="A20" s="97" t="s">
        <v>2158</v>
      </c>
      <c r="B20" s="76" t="s">
        <v>2109</v>
      </c>
      <c r="C20" s="81" t="s">
        <v>2131</v>
      </c>
      <c r="D20" s="81"/>
      <c r="E20" s="81" t="s">
        <v>18</v>
      </c>
      <c r="F20" s="95" t="s">
        <v>42</v>
      </c>
      <c r="G20" s="81" t="s">
        <v>2179</v>
      </c>
      <c r="H20" s="74" t="s">
        <v>2113</v>
      </c>
      <c r="I20" s="87" t="s">
        <v>2199</v>
      </c>
      <c r="J20" s="49"/>
      <c r="K20" s="95" t="s">
        <v>2089</v>
      </c>
      <c r="L20" s="38"/>
      <c r="M20" s="258"/>
      <c r="N20" s="259"/>
      <c r="O20" s="155"/>
      <c r="P20" s="112"/>
      <c r="Q20" s="78" t="s">
        <v>2148</v>
      </c>
      <c r="R20" s="78"/>
      <c r="S20" s="78"/>
      <c r="T20" s="78"/>
      <c r="U20" s="81"/>
      <c r="V20" s="81"/>
      <c r="W20" s="250"/>
      <c r="X20" s="159"/>
      <c r="Y20" s="53"/>
    </row>
    <row r="21" spans="1:25" s="151" customFormat="1" ht="409.5">
      <c r="A21" s="97" t="s">
        <v>2159</v>
      </c>
      <c r="B21" s="76" t="s">
        <v>2115</v>
      </c>
      <c r="C21" s="81" t="s">
        <v>2131</v>
      </c>
      <c r="D21" s="81"/>
      <c r="E21" s="81" t="s">
        <v>18</v>
      </c>
      <c r="F21" s="95" t="s">
        <v>42</v>
      </c>
      <c r="G21" s="81" t="s">
        <v>2180</v>
      </c>
      <c r="H21" s="74" t="s">
        <v>2114</v>
      </c>
      <c r="I21" s="87" t="s">
        <v>2217</v>
      </c>
      <c r="J21" s="49"/>
      <c r="K21" s="95" t="s">
        <v>2089</v>
      </c>
      <c r="L21" s="38"/>
      <c r="M21" s="258"/>
      <c r="N21" s="259"/>
      <c r="O21" s="155"/>
      <c r="P21" s="112"/>
      <c r="Q21" s="78" t="s">
        <v>2149</v>
      </c>
      <c r="R21" s="78"/>
      <c r="S21" s="78"/>
      <c r="T21" s="78"/>
      <c r="U21" s="81"/>
      <c r="V21" s="81"/>
      <c r="W21" s="250"/>
      <c r="X21" s="159"/>
      <c r="Y21" s="53"/>
    </row>
    <row r="22" spans="1:25" s="151" customFormat="1" ht="24">
      <c r="A22" s="97" t="s">
        <v>2159</v>
      </c>
      <c r="B22" s="76" t="s">
        <v>2115</v>
      </c>
      <c r="C22" s="81" t="s">
        <v>2132</v>
      </c>
      <c r="D22" s="81"/>
      <c r="E22" s="81" t="s">
        <v>18</v>
      </c>
      <c r="F22" s="95" t="s">
        <v>42</v>
      </c>
      <c r="G22" s="81" t="s">
        <v>2181</v>
      </c>
      <c r="H22" s="74" t="s">
        <v>2116</v>
      </c>
      <c r="I22" s="87" t="s">
        <v>2218</v>
      </c>
      <c r="J22" s="49"/>
      <c r="K22" s="95" t="s">
        <v>2089</v>
      </c>
      <c r="L22" s="38"/>
      <c r="M22" s="258"/>
      <c r="N22" s="259"/>
      <c r="O22" s="155"/>
      <c r="P22" s="112"/>
      <c r="Q22" s="78" t="s">
        <v>2139</v>
      </c>
      <c r="R22" s="78"/>
      <c r="S22" s="78"/>
      <c r="T22" s="78"/>
      <c r="U22" s="81"/>
      <c r="V22" s="81"/>
      <c r="W22" s="250"/>
      <c r="X22" s="159"/>
      <c r="Y22" s="53"/>
    </row>
    <row r="23" spans="1:25" s="151" customFormat="1" ht="192">
      <c r="A23" s="97" t="s">
        <v>2159</v>
      </c>
      <c r="B23" s="76" t="s">
        <v>2115</v>
      </c>
      <c r="C23" s="81" t="s">
        <v>2131</v>
      </c>
      <c r="D23" s="81"/>
      <c r="E23" s="81" t="s">
        <v>18</v>
      </c>
      <c r="F23" s="95" t="s">
        <v>42</v>
      </c>
      <c r="G23" s="81" t="s">
        <v>2182</v>
      </c>
      <c r="H23" s="74" t="s">
        <v>2117</v>
      </c>
      <c r="I23" s="87" t="s">
        <v>2220</v>
      </c>
      <c r="J23" s="49"/>
      <c r="K23" s="95" t="s">
        <v>2089</v>
      </c>
      <c r="L23" s="38"/>
      <c r="M23" s="258"/>
      <c r="N23" s="259"/>
      <c r="O23" s="155"/>
      <c r="P23" s="112"/>
      <c r="Q23" s="78" t="s">
        <v>2193</v>
      </c>
      <c r="R23" s="78"/>
      <c r="S23" s="78"/>
      <c r="T23" s="78" t="s">
        <v>2219</v>
      </c>
      <c r="U23" s="81"/>
      <c r="V23" s="81"/>
      <c r="W23" s="250"/>
      <c r="X23" s="159"/>
      <c r="Y23" s="53"/>
    </row>
    <row r="24" spans="1:25" s="151" customFormat="1" ht="24">
      <c r="A24" s="97" t="s">
        <v>2159</v>
      </c>
      <c r="B24" s="76" t="s">
        <v>2115</v>
      </c>
      <c r="C24" s="81" t="s">
        <v>2131</v>
      </c>
      <c r="D24" s="81"/>
      <c r="E24" s="81" t="s">
        <v>18</v>
      </c>
      <c r="F24" s="95" t="s">
        <v>42</v>
      </c>
      <c r="G24" s="81" t="s">
        <v>2183</v>
      </c>
      <c r="H24" s="74" t="s">
        <v>2118</v>
      </c>
      <c r="I24" s="87" t="s">
        <v>2221</v>
      </c>
      <c r="J24" s="49"/>
      <c r="K24" s="95" t="s">
        <v>2089</v>
      </c>
      <c r="L24" s="38"/>
      <c r="M24" s="258"/>
      <c r="N24" s="259"/>
      <c r="O24" s="155"/>
      <c r="P24" s="112"/>
      <c r="Q24" s="78" t="s">
        <v>2140</v>
      </c>
      <c r="R24" s="78"/>
      <c r="S24" s="78"/>
      <c r="T24" s="78"/>
      <c r="U24" s="81"/>
      <c r="V24" s="81"/>
      <c r="W24" s="250"/>
      <c r="X24" s="159"/>
      <c r="Y24" s="53"/>
    </row>
    <row r="25" spans="1:25" s="151" customFormat="1" ht="84">
      <c r="A25" s="97" t="s">
        <v>2159</v>
      </c>
      <c r="B25" s="76" t="s">
        <v>2115</v>
      </c>
      <c r="C25" s="81" t="s">
        <v>2131</v>
      </c>
      <c r="D25" s="81"/>
      <c r="E25" s="81" t="s">
        <v>18</v>
      </c>
      <c r="F25" s="95" t="s">
        <v>42</v>
      </c>
      <c r="G25" s="81" t="s">
        <v>2184</v>
      </c>
      <c r="H25" s="74" t="s">
        <v>2119</v>
      </c>
      <c r="I25" s="87" t="s">
        <v>2222</v>
      </c>
      <c r="J25" s="49"/>
      <c r="K25" s="95" t="s">
        <v>2089</v>
      </c>
      <c r="L25" s="38"/>
      <c r="M25" s="258"/>
      <c r="N25" s="259"/>
      <c r="O25" s="155"/>
      <c r="P25" s="112"/>
      <c r="Q25" s="78" t="s">
        <v>2150</v>
      </c>
      <c r="R25" s="78"/>
      <c r="S25" s="78"/>
      <c r="T25" s="78"/>
      <c r="U25" s="81"/>
      <c r="V25" s="81"/>
      <c r="W25" s="250"/>
      <c r="X25" s="159"/>
      <c r="Y25" s="53"/>
    </row>
    <row r="26" spans="1:25" s="151" customFormat="1" ht="84">
      <c r="A26" s="97" t="s">
        <v>2159</v>
      </c>
      <c r="B26" s="76" t="s">
        <v>2115</v>
      </c>
      <c r="C26" s="81" t="s">
        <v>2133</v>
      </c>
      <c r="D26" s="81"/>
      <c r="E26" s="81" t="s">
        <v>18</v>
      </c>
      <c r="F26" s="95" t="s">
        <v>42</v>
      </c>
      <c r="G26" s="81" t="s">
        <v>2185</v>
      </c>
      <c r="H26" s="74" t="s">
        <v>2120</v>
      </c>
      <c r="I26" s="87" t="s">
        <v>2223</v>
      </c>
      <c r="J26" s="49"/>
      <c r="K26" s="95" t="s">
        <v>2089</v>
      </c>
      <c r="L26" s="38"/>
      <c r="M26" s="258"/>
      <c r="N26" s="259"/>
      <c r="O26" s="155"/>
      <c r="P26" s="112"/>
      <c r="Q26" s="78" t="s">
        <v>2151</v>
      </c>
      <c r="R26" s="78"/>
      <c r="S26" s="78"/>
      <c r="T26" s="78"/>
      <c r="U26" s="81"/>
      <c r="V26" s="81"/>
      <c r="W26" s="250"/>
      <c r="X26" s="159"/>
      <c r="Y26" s="53"/>
    </row>
    <row r="27" spans="1:25" s="151" customFormat="1" ht="360">
      <c r="A27" s="97" t="s">
        <v>2160</v>
      </c>
      <c r="B27" s="76" t="s">
        <v>2121</v>
      </c>
      <c r="C27" s="81" t="s">
        <v>2131</v>
      </c>
      <c r="D27" s="81"/>
      <c r="E27" s="81" t="s">
        <v>18</v>
      </c>
      <c r="F27" s="95" t="s">
        <v>42</v>
      </c>
      <c r="G27" s="81" t="s">
        <v>2186</v>
      </c>
      <c r="H27" s="74" t="s">
        <v>2122</v>
      </c>
      <c r="I27" s="87" t="s">
        <v>2225</v>
      </c>
      <c r="J27" s="49"/>
      <c r="K27" s="95" t="s">
        <v>2089</v>
      </c>
      <c r="L27" s="38"/>
      <c r="M27" s="258"/>
      <c r="N27" s="259"/>
      <c r="O27" s="155"/>
      <c r="P27" s="112"/>
      <c r="Q27" s="78" t="s">
        <v>2153</v>
      </c>
      <c r="R27" s="78"/>
      <c r="S27" s="78"/>
      <c r="T27" s="78" t="s">
        <v>2224</v>
      </c>
      <c r="U27" s="81"/>
      <c r="V27" s="81"/>
      <c r="W27" s="250"/>
      <c r="X27" s="159"/>
      <c r="Y27" s="53"/>
    </row>
    <row r="28" spans="1:25" s="151" customFormat="1" ht="144">
      <c r="A28" s="97" t="s">
        <v>2160</v>
      </c>
      <c r="B28" s="76" t="s">
        <v>2121</v>
      </c>
      <c r="C28" s="81" t="s">
        <v>2132</v>
      </c>
      <c r="D28" s="81"/>
      <c r="E28" s="81" t="s">
        <v>18</v>
      </c>
      <c r="F28" s="95" t="s">
        <v>42</v>
      </c>
      <c r="G28" s="81" t="s">
        <v>2187</v>
      </c>
      <c r="H28" s="74" t="s">
        <v>2123</v>
      </c>
      <c r="I28" s="87" t="s">
        <v>2226</v>
      </c>
      <c r="J28" s="49"/>
      <c r="K28" s="95" t="s">
        <v>2089</v>
      </c>
      <c r="L28" s="38"/>
      <c r="M28" s="258"/>
      <c r="N28" s="259"/>
      <c r="O28" s="155"/>
      <c r="P28" s="112"/>
      <c r="Q28" s="78" t="s">
        <v>2135</v>
      </c>
      <c r="R28" s="78"/>
      <c r="S28" s="78"/>
      <c r="T28" s="78" t="s">
        <v>2202</v>
      </c>
      <c r="U28" s="81"/>
      <c r="V28" s="81"/>
      <c r="W28" s="250"/>
      <c r="X28" s="159"/>
      <c r="Y28" s="53"/>
    </row>
    <row r="29" spans="1:25" s="151" customFormat="1" ht="84">
      <c r="A29" s="97" t="s">
        <v>2160</v>
      </c>
      <c r="B29" s="76" t="s">
        <v>2121</v>
      </c>
      <c r="C29" s="81" t="s">
        <v>2131</v>
      </c>
      <c r="D29" s="81"/>
      <c r="E29" s="81" t="s">
        <v>18</v>
      </c>
      <c r="F29" s="95" t="s">
        <v>42</v>
      </c>
      <c r="G29" s="81" t="s">
        <v>2188</v>
      </c>
      <c r="H29" s="74" t="s">
        <v>2124</v>
      </c>
      <c r="I29" s="87" t="s">
        <v>2229</v>
      </c>
      <c r="J29" s="49"/>
      <c r="K29" s="95" t="s">
        <v>2089</v>
      </c>
      <c r="L29" s="38"/>
      <c r="M29" s="258"/>
      <c r="N29" s="259"/>
      <c r="O29" s="155"/>
      <c r="P29" s="112"/>
      <c r="Q29" s="78" t="s">
        <v>2136</v>
      </c>
      <c r="R29" s="78"/>
      <c r="S29" s="78"/>
      <c r="T29" s="78" t="s">
        <v>2224</v>
      </c>
      <c r="U29" s="81"/>
      <c r="V29" s="81"/>
      <c r="W29" s="250"/>
      <c r="X29" s="159"/>
      <c r="Y29" s="53"/>
    </row>
    <row r="30" spans="1:25" s="151" customFormat="1" ht="168">
      <c r="A30" s="97" t="s">
        <v>2160</v>
      </c>
      <c r="B30" s="76" t="s">
        <v>2121</v>
      </c>
      <c r="C30" s="81" t="s">
        <v>2131</v>
      </c>
      <c r="D30" s="81"/>
      <c r="E30" s="81" t="s">
        <v>18</v>
      </c>
      <c r="F30" s="95" t="s">
        <v>42</v>
      </c>
      <c r="G30" s="81" t="s">
        <v>2189</v>
      </c>
      <c r="H30" s="76" t="s">
        <v>2125</v>
      </c>
      <c r="I30" s="87" t="s">
        <v>2227</v>
      </c>
      <c r="J30" s="49"/>
      <c r="K30" s="95" t="s">
        <v>2089</v>
      </c>
      <c r="L30" s="38"/>
      <c r="M30" s="141"/>
      <c r="N30" s="138"/>
      <c r="O30" s="155"/>
      <c r="P30" s="112"/>
      <c r="Q30" s="78" t="s">
        <v>2135</v>
      </c>
      <c r="R30" s="78"/>
      <c r="S30" s="78"/>
      <c r="T30" s="78"/>
      <c r="U30" s="81"/>
      <c r="V30" s="97"/>
      <c r="W30" s="250"/>
      <c r="X30" s="159"/>
      <c r="Y30" s="53"/>
    </row>
    <row r="31" spans="1:25" s="151" customFormat="1" ht="72">
      <c r="A31" s="97" t="s">
        <v>2160</v>
      </c>
      <c r="B31" s="76" t="s">
        <v>2121</v>
      </c>
      <c r="C31" s="81" t="s">
        <v>2132</v>
      </c>
      <c r="D31" s="81"/>
      <c r="E31" s="81" t="s">
        <v>18</v>
      </c>
      <c r="F31" s="95" t="s">
        <v>42</v>
      </c>
      <c r="G31" s="81" t="s">
        <v>2190</v>
      </c>
      <c r="H31" s="76" t="s">
        <v>2126</v>
      </c>
      <c r="I31" s="87" t="s">
        <v>2228</v>
      </c>
      <c r="J31" s="49"/>
      <c r="K31" s="95" t="s">
        <v>2089</v>
      </c>
      <c r="L31" s="38"/>
      <c r="M31" s="258"/>
      <c r="N31" s="259"/>
      <c r="O31" s="155"/>
      <c r="P31" s="112"/>
      <c r="Q31" s="78" t="s">
        <v>2134</v>
      </c>
      <c r="R31" s="78"/>
      <c r="S31" s="78"/>
      <c r="T31" s="78"/>
      <c r="U31" s="81"/>
      <c r="V31" s="97"/>
      <c r="W31" s="250"/>
      <c r="X31" s="159"/>
      <c r="Y31" s="53"/>
    </row>
    <row r="32" spans="1:25" s="151" customFormat="1" ht="53.25" customHeight="1">
      <c r="A32" s="97" t="s">
        <v>2160</v>
      </c>
      <c r="B32" s="76" t="s">
        <v>2121</v>
      </c>
      <c r="C32" s="81" t="s">
        <v>17</v>
      </c>
      <c r="D32" s="81"/>
      <c r="E32" s="81" t="s">
        <v>18</v>
      </c>
      <c r="F32" s="95" t="s">
        <v>42</v>
      </c>
      <c r="G32" s="81" t="s">
        <v>2191</v>
      </c>
      <c r="H32" s="76" t="s">
        <v>2127</v>
      </c>
      <c r="I32" s="87" t="s">
        <v>2200</v>
      </c>
      <c r="J32" s="49"/>
      <c r="K32" s="95" t="s">
        <v>2089</v>
      </c>
      <c r="L32" s="38"/>
      <c r="M32" s="258"/>
      <c r="N32" s="259"/>
      <c r="O32" s="155"/>
      <c r="P32" s="112"/>
      <c r="Q32" s="78" t="s">
        <v>2134</v>
      </c>
      <c r="R32" s="78"/>
      <c r="S32" s="78"/>
      <c r="T32" s="78"/>
      <c r="U32" s="81"/>
      <c r="V32" s="97"/>
      <c r="W32" s="250"/>
      <c r="X32" s="159"/>
      <c r="Y32" s="53"/>
    </row>
  </sheetData>
  <autoFilter ref="A1:Y32"/>
  <phoneticPr fontId="3" type="noConversion"/>
  <dataValidations count="5">
    <dataValidation type="list" allowBlank="1" showInputMessage="1" showErrorMessage="1" sqref="F2:F32">
      <formula1>"구축요건정의서,프로젝트계획서,회의록,전산개발의뢰서"</formula1>
    </dataValidation>
    <dataValidation type="list" allowBlank="1" showInputMessage="1" showErrorMessage="1" sqref="M2:M1048576">
      <formula1>"승인,조건부승인,거부,거부-통폐합,거부-이관"</formula1>
    </dataValidation>
    <dataValidation type="list" allowBlank="1" showInputMessage="1" showErrorMessage="1" sqref="D2:D1048576">
      <formula1>"요구사항정의,분석,설계,구현,테스트,이행"</formula1>
    </dataValidation>
    <dataValidation type="list" allowBlank="1" showInputMessage="1" showErrorMessage="1" sqref="E2:E1048576">
      <formula1>"신규,변경,삭제,추가"</formula1>
    </dataValidation>
    <dataValidation type="list" allowBlank="1" showInputMessage="1" showErrorMessage="1" sqref="C2:C1048576">
      <formula1>"기능,비기능"</formula1>
    </dataValidation>
  </dataValidations>
  <pageMargins left="0.70866141732283472" right="0.70866141732283472" top="0.74803149606299213" bottom="0.74803149606299213" header="0.31496062992125984" footer="0.31496062992125984"/>
  <pageSetup paperSize="9" scale="1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149"/>
  <sheetViews>
    <sheetView showGridLines="0" tabSelected="1" zoomScale="85" zoomScaleNormal="85" workbookViewId="0">
      <pane ySplit="1" topLeftCell="A21" activePane="bottomLeft" state="frozen"/>
      <selection activeCell="G1" sqref="G1"/>
      <selection pane="bottomLeft" activeCell="O9" sqref="O9:O142"/>
    </sheetView>
  </sheetViews>
  <sheetFormatPr defaultRowHeight="13.5"/>
  <cols>
    <col min="1" max="1" width="7.6640625" style="295" customWidth="1"/>
    <col min="2" max="2" width="10.88671875" style="295" customWidth="1"/>
    <col min="3" max="3" width="7.33203125" style="295" customWidth="1"/>
    <col min="4" max="4" width="17.21875" style="293" customWidth="1"/>
    <col min="5" max="5" width="5" style="295" customWidth="1"/>
    <col min="6" max="6" width="6.44140625" style="295" customWidth="1"/>
    <col min="7" max="7" width="3.77734375" style="295" customWidth="1"/>
    <col min="8" max="8" width="6.21875" style="295" customWidth="1"/>
    <col min="9" max="9" width="10.44140625" style="295" customWidth="1"/>
    <col min="10" max="10" width="16.109375" style="293" customWidth="1"/>
    <col min="11" max="11" width="57.109375" style="293" customWidth="1"/>
    <col min="12" max="12" width="4.5546875" style="293" customWidth="1"/>
    <col min="13" max="13" width="12.109375" style="295" customWidth="1"/>
    <col min="14" max="14" width="5.88671875" style="293" customWidth="1"/>
    <col min="15" max="15" width="15.88671875" style="295" bestFit="1" customWidth="1"/>
    <col min="16" max="16" width="23.109375" style="293" customWidth="1"/>
    <col min="17" max="18" width="5" style="293" customWidth="1"/>
    <col min="19" max="19" width="26.33203125" style="293" customWidth="1"/>
    <col min="20" max="20" width="5" style="295" customWidth="1"/>
    <col min="21" max="16384" width="8.88671875" style="293"/>
  </cols>
  <sheetData>
    <row r="1" spans="1:20" s="307" customFormat="1" ht="40.5">
      <c r="A1" s="296" t="s">
        <v>2785</v>
      </c>
      <c r="B1" s="296" t="s">
        <v>2786</v>
      </c>
      <c r="C1" s="296" t="s">
        <v>11</v>
      </c>
      <c r="D1" s="296" t="s">
        <v>12</v>
      </c>
      <c r="E1" s="296" t="s">
        <v>20</v>
      </c>
      <c r="F1" s="296" t="s">
        <v>26</v>
      </c>
      <c r="G1" s="296" t="s">
        <v>21</v>
      </c>
      <c r="H1" s="296" t="s">
        <v>22</v>
      </c>
      <c r="I1" s="296" t="s">
        <v>13</v>
      </c>
      <c r="J1" s="296" t="s">
        <v>14</v>
      </c>
      <c r="K1" s="296" t="s">
        <v>29</v>
      </c>
      <c r="L1" s="296" t="s">
        <v>30</v>
      </c>
      <c r="M1" s="296" t="s">
        <v>25</v>
      </c>
      <c r="N1" s="296" t="s">
        <v>31</v>
      </c>
      <c r="O1" s="296" t="s">
        <v>2821</v>
      </c>
      <c r="P1" s="296" t="s">
        <v>23</v>
      </c>
      <c r="Q1" s="296" t="s">
        <v>36</v>
      </c>
      <c r="R1" s="296" t="s">
        <v>24</v>
      </c>
      <c r="S1" s="296" t="s">
        <v>37</v>
      </c>
      <c r="T1" s="297" t="s">
        <v>2231</v>
      </c>
    </row>
    <row r="2" spans="1:20" s="299" customFormat="1" ht="27">
      <c r="A2" s="298" t="s">
        <v>2236</v>
      </c>
      <c r="B2" s="298" t="s">
        <v>2460</v>
      </c>
      <c r="C2" s="298" t="s">
        <v>2547</v>
      </c>
      <c r="D2" s="300" t="s">
        <v>2454</v>
      </c>
      <c r="E2" s="300" t="s">
        <v>1732</v>
      </c>
      <c r="F2" s="298" t="s">
        <v>45</v>
      </c>
      <c r="G2" s="300" t="s">
        <v>2546</v>
      </c>
      <c r="H2" s="298" t="s">
        <v>39</v>
      </c>
      <c r="I2" s="298" t="s">
        <v>2621</v>
      </c>
      <c r="J2" s="300" t="s">
        <v>2455</v>
      </c>
      <c r="K2" s="300" t="s">
        <v>2467</v>
      </c>
      <c r="L2" s="300"/>
      <c r="M2" s="300" t="s">
        <v>2766</v>
      </c>
      <c r="N2" s="300"/>
      <c r="O2" s="318" t="s">
        <v>2827</v>
      </c>
      <c r="P2" s="300"/>
      <c r="Q2" s="300"/>
      <c r="R2" s="300"/>
      <c r="S2" s="300"/>
      <c r="T2" s="318"/>
    </row>
    <row r="3" spans="1:20" s="299" customFormat="1" ht="40.5">
      <c r="A3" s="298" t="s">
        <v>2236</v>
      </c>
      <c r="B3" s="298" t="s">
        <v>2460</v>
      </c>
      <c r="C3" s="298" t="s">
        <v>2547</v>
      </c>
      <c r="D3" s="300" t="s">
        <v>2454</v>
      </c>
      <c r="E3" s="300" t="s">
        <v>2476</v>
      </c>
      <c r="F3" s="298" t="s">
        <v>45</v>
      </c>
      <c r="G3" s="300" t="s">
        <v>2546</v>
      </c>
      <c r="H3" s="298" t="s">
        <v>39</v>
      </c>
      <c r="I3" s="298" t="s">
        <v>2622</v>
      </c>
      <c r="J3" s="300" t="s">
        <v>2456</v>
      </c>
      <c r="K3" s="300" t="s">
        <v>2468</v>
      </c>
      <c r="L3" s="300"/>
      <c r="M3" s="300" t="s">
        <v>2766</v>
      </c>
      <c r="N3" s="300"/>
      <c r="O3" s="318" t="s">
        <v>2827</v>
      </c>
      <c r="P3" s="300"/>
      <c r="Q3" s="300"/>
      <c r="R3" s="300"/>
      <c r="S3" s="300"/>
      <c r="T3" s="318"/>
    </row>
    <row r="4" spans="1:20" s="299" customFormat="1" ht="27">
      <c r="A4" s="298" t="s">
        <v>2236</v>
      </c>
      <c r="B4" s="298" t="s">
        <v>2460</v>
      </c>
      <c r="C4" s="298" t="s">
        <v>2547</v>
      </c>
      <c r="D4" s="300" t="s">
        <v>2454</v>
      </c>
      <c r="E4" s="300" t="s">
        <v>2476</v>
      </c>
      <c r="F4" s="298" t="s">
        <v>45</v>
      </c>
      <c r="G4" s="300" t="s">
        <v>2546</v>
      </c>
      <c r="H4" s="298" t="s">
        <v>39</v>
      </c>
      <c r="I4" s="298" t="s">
        <v>2623</v>
      </c>
      <c r="J4" s="300" t="s">
        <v>2461</v>
      </c>
      <c r="K4" s="300" t="s">
        <v>2471</v>
      </c>
      <c r="L4" s="300"/>
      <c r="M4" s="300" t="s">
        <v>2766</v>
      </c>
      <c r="N4" s="300"/>
      <c r="O4" s="318" t="s">
        <v>2827</v>
      </c>
      <c r="P4" s="300"/>
      <c r="Q4" s="300"/>
      <c r="R4" s="300"/>
      <c r="S4" s="300"/>
      <c r="T4" s="318"/>
    </row>
    <row r="5" spans="1:20" s="299" customFormat="1" ht="27">
      <c r="A5" s="298" t="s">
        <v>2236</v>
      </c>
      <c r="B5" s="298" t="s">
        <v>2460</v>
      </c>
      <c r="C5" s="298" t="s">
        <v>2548</v>
      </c>
      <c r="D5" s="300" t="s">
        <v>2457</v>
      </c>
      <c r="E5" s="300" t="s">
        <v>2469</v>
      </c>
      <c r="F5" s="298" t="s">
        <v>45</v>
      </c>
      <c r="G5" s="300" t="s">
        <v>2546</v>
      </c>
      <c r="H5" s="298" t="s">
        <v>39</v>
      </c>
      <c r="I5" s="298" t="s">
        <v>2624</v>
      </c>
      <c r="J5" s="300" t="s">
        <v>2457</v>
      </c>
      <c r="K5" s="300" t="s">
        <v>2470</v>
      </c>
      <c r="L5" s="300"/>
      <c r="M5" s="300" t="s">
        <v>2766</v>
      </c>
      <c r="N5" s="300"/>
      <c r="O5" s="318" t="s">
        <v>2827</v>
      </c>
      <c r="P5" s="300"/>
      <c r="Q5" s="300"/>
      <c r="R5" s="300"/>
      <c r="S5" s="300"/>
      <c r="T5" s="318"/>
    </row>
    <row r="6" spans="1:20" s="299" customFormat="1" ht="27">
      <c r="A6" s="298" t="s">
        <v>2236</v>
      </c>
      <c r="B6" s="298" t="s">
        <v>2460</v>
      </c>
      <c r="C6" s="298" t="s">
        <v>2549</v>
      </c>
      <c r="D6" s="300" t="s">
        <v>2458</v>
      </c>
      <c r="E6" s="300" t="s">
        <v>2469</v>
      </c>
      <c r="F6" s="298" t="s">
        <v>45</v>
      </c>
      <c r="G6" s="300" t="s">
        <v>2546</v>
      </c>
      <c r="H6" s="298" t="s">
        <v>39</v>
      </c>
      <c r="I6" s="298" t="s">
        <v>2625</v>
      </c>
      <c r="J6" s="300" t="s">
        <v>2462</v>
      </c>
      <c r="K6" s="300" t="s">
        <v>2472</v>
      </c>
      <c r="L6" s="300"/>
      <c r="M6" s="300" t="s">
        <v>2766</v>
      </c>
      <c r="N6" s="300"/>
      <c r="O6" s="318" t="s">
        <v>2827</v>
      </c>
      <c r="P6" s="300"/>
      <c r="Q6" s="300"/>
      <c r="R6" s="300"/>
      <c r="S6" s="300"/>
      <c r="T6" s="318"/>
    </row>
    <row r="7" spans="1:20" s="299" customFormat="1" ht="40.5">
      <c r="A7" s="329" t="s">
        <v>2236</v>
      </c>
      <c r="B7" s="329" t="s">
        <v>2460</v>
      </c>
      <c r="C7" s="329" t="s">
        <v>2550</v>
      </c>
      <c r="D7" s="330" t="s">
        <v>2459</v>
      </c>
      <c r="E7" s="330" t="s">
        <v>2476</v>
      </c>
      <c r="F7" s="329" t="s">
        <v>45</v>
      </c>
      <c r="G7" s="330" t="s">
        <v>2546</v>
      </c>
      <c r="H7" s="329" t="s">
        <v>39</v>
      </c>
      <c r="I7" s="329" t="s">
        <v>2626</v>
      </c>
      <c r="J7" s="330" t="s">
        <v>2463</v>
      </c>
      <c r="K7" s="330" t="s">
        <v>2473</v>
      </c>
      <c r="L7" s="330"/>
      <c r="M7" s="330" t="s">
        <v>2766</v>
      </c>
      <c r="N7" s="330"/>
      <c r="O7" s="318" t="s">
        <v>2827</v>
      </c>
      <c r="P7" s="366" t="s">
        <v>2885</v>
      </c>
      <c r="Q7" s="330"/>
      <c r="R7" s="330"/>
      <c r="S7" s="330"/>
      <c r="T7" s="331"/>
    </row>
    <row r="8" spans="1:20" s="299" customFormat="1" ht="40.5">
      <c r="A8" s="329" t="s">
        <v>2236</v>
      </c>
      <c r="B8" s="329" t="s">
        <v>2460</v>
      </c>
      <c r="C8" s="329" t="s">
        <v>2550</v>
      </c>
      <c r="D8" s="330" t="s">
        <v>2459</v>
      </c>
      <c r="E8" s="330" t="s">
        <v>2476</v>
      </c>
      <c r="F8" s="329" t="s">
        <v>45</v>
      </c>
      <c r="G8" s="329" t="s">
        <v>2248</v>
      </c>
      <c r="H8" s="329" t="s">
        <v>39</v>
      </c>
      <c r="I8" s="329" t="s">
        <v>2627</v>
      </c>
      <c r="J8" s="330" t="s">
        <v>2464</v>
      </c>
      <c r="K8" s="330" t="s">
        <v>2474</v>
      </c>
      <c r="L8" s="330"/>
      <c r="M8" s="330" t="s">
        <v>2766</v>
      </c>
      <c r="N8" s="330"/>
      <c r="O8" s="318" t="s">
        <v>2827</v>
      </c>
      <c r="P8" s="366" t="s">
        <v>2885</v>
      </c>
      <c r="Q8" s="330"/>
      <c r="R8" s="330"/>
      <c r="S8" s="330"/>
      <c r="T8" s="331"/>
    </row>
    <row r="9" spans="1:20" s="303" customFormat="1" ht="81">
      <c r="A9" s="301" t="s">
        <v>2236</v>
      </c>
      <c r="B9" s="301" t="s">
        <v>2460</v>
      </c>
      <c r="C9" s="301" t="s">
        <v>2550</v>
      </c>
      <c r="D9" s="302" t="s">
        <v>2459</v>
      </c>
      <c r="E9" s="302" t="s">
        <v>2469</v>
      </c>
      <c r="F9" s="301" t="s">
        <v>45</v>
      </c>
      <c r="G9" s="301" t="s">
        <v>2424</v>
      </c>
      <c r="H9" s="301" t="s">
        <v>39</v>
      </c>
      <c r="I9" s="301" t="s">
        <v>2628</v>
      </c>
      <c r="J9" s="302" t="s">
        <v>2465</v>
      </c>
      <c r="K9" s="302" t="s">
        <v>2475</v>
      </c>
      <c r="L9" s="302"/>
      <c r="M9" s="302" t="s">
        <v>2766</v>
      </c>
      <c r="N9" s="302"/>
      <c r="O9" s="321" t="s">
        <v>2829</v>
      </c>
      <c r="P9" s="302" t="s">
        <v>2884</v>
      </c>
      <c r="Q9" s="302"/>
      <c r="R9" s="302"/>
      <c r="S9" s="302"/>
      <c r="T9" s="319" t="s">
        <v>2768</v>
      </c>
    </row>
    <row r="10" spans="1:20" s="322" customFormat="1" ht="135">
      <c r="A10" s="298" t="s">
        <v>2236</v>
      </c>
      <c r="B10" s="298" t="s">
        <v>2477</v>
      </c>
      <c r="C10" s="298" t="s">
        <v>2551</v>
      </c>
      <c r="D10" s="298" t="s">
        <v>2372</v>
      </c>
      <c r="E10" s="298" t="s">
        <v>38</v>
      </c>
      <c r="F10" s="298" t="s">
        <v>45</v>
      </c>
      <c r="G10" s="298" t="s">
        <v>2248</v>
      </c>
      <c r="H10" s="298" t="s">
        <v>39</v>
      </c>
      <c r="I10" s="298" t="s">
        <v>2629</v>
      </c>
      <c r="J10" s="298" t="s">
        <v>2371</v>
      </c>
      <c r="K10" s="298" t="s">
        <v>2545</v>
      </c>
      <c r="L10" s="298"/>
      <c r="M10" s="298" t="s">
        <v>2766</v>
      </c>
      <c r="N10" s="298"/>
      <c r="O10" s="318" t="s">
        <v>2827</v>
      </c>
      <c r="P10" s="298" t="s">
        <v>2779</v>
      </c>
      <c r="Q10" s="298"/>
      <c r="R10" s="298"/>
      <c r="S10" s="298"/>
      <c r="T10" s="320" t="s">
        <v>2233</v>
      </c>
    </row>
    <row r="11" spans="1:20" s="322" customFormat="1" ht="121.5">
      <c r="A11" s="298" t="s">
        <v>2236</v>
      </c>
      <c r="B11" s="298" t="s">
        <v>2479</v>
      </c>
      <c r="C11" s="298" t="s">
        <v>2552</v>
      </c>
      <c r="D11" s="298" t="s">
        <v>2373</v>
      </c>
      <c r="E11" s="298" t="s">
        <v>38</v>
      </c>
      <c r="F11" s="298" t="s">
        <v>45</v>
      </c>
      <c r="G11" s="298" t="s">
        <v>2248</v>
      </c>
      <c r="H11" s="298" t="s">
        <v>39</v>
      </c>
      <c r="I11" s="298" t="s">
        <v>2630</v>
      </c>
      <c r="J11" s="298" t="s">
        <v>2482</v>
      </c>
      <c r="K11" s="298" t="s">
        <v>2382</v>
      </c>
      <c r="L11" s="298"/>
      <c r="M11" s="298" t="s">
        <v>2766</v>
      </c>
      <c r="N11" s="298"/>
      <c r="O11" s="318" t="s">
        <v>2827</v>
      </c>
      <c r="P11" s="298"/>
      <c r="Q11" s="298"/>
      <c r="R11" s="298"/>
      <c r="S11" s="298"/>
      <c r="T11" s="320" t="s">
        <v>2233</v>
      </c>
    </row>
    <row r="12" spans="1:20" s="322" customFormat="1" ht="148.5">
      <c r="A12" s="298" t="s">
        <v>2236</v>
      </c>
      <c r="B12" s="298" t="s">
        <v>2477</v>
      </c>
      <c r="C12" s="298" t="s">
        <v>2552</v>
      </c>
      <c r="D12" s="298" t="s">
        <v>2373</v>
      </c>
      <c r="E12" s="298" t="s">
        <v>38</v>
      </c>
      <c r="F12" s="298" t="s">
        <v>45</v>
      </c>
      <c r="G12" s="298" t="s">
        <v>2248</v>
      </c>
      <c r="H12" s="298" t="s">
        <v>39</v>
      </c>
      <c r="I12" s="298" t="s">
        <v>2631</v>
      </c>
      <c r="J12" s="298" t="s">
        <v>2324</v>
      </c>
      <c r="K12" s="298" t="s">
        <v>2804</v>
      </c>
      <c r="L12" s="298"/>
      <c r="M12" s="298" t="s">
        <v>2766</v>
      </c>
      <c r="N12" s="298"/>
      <c r="O12" s="318" t="s">
        <v>2827</v>
      </c>
      <c r="P12" s="298"/>
      <c r="Q12" s="298"/>
      <c r="R12" s="298"/>
      <c r="S12" s="298"/>
      <c r="T12" s="320" t="s">
        <v>2233</v>
      </c>
    </row>
    <row r="13" spans="1:20" s="322" customFormat="1" ht="81">
      <c r="A13" s="298" t="s">
        <v>2236</v>
      </c>
      <c r="B13" s="298" t="s">
        <v>2477</v>
      </c>
      <c r="C13" s="298" t="s">
        <v>2564</v>
      </c>
      <c r="D13" s="298" t="s">
        <v>2374</v>
      </c>
      <c r="E13" s="298" t="s">
        <v>38</v>
      </c>
      <c r="F13" s="298" t="s">
        <v>45</v>
      </c>
      <c r="G13" s="298" t="s">
        <v>2248</v>
      </c>
      <c r="H13" s="298" t="s">
        <v>39</v>
      </c>
      <c r="I13" s="298" t="s">
        <v>2632</v>
      </c>
      <c r="J13" s="298" t="s">
        <v>2325</v>
      </c>
      <c r="K13" s="298" t="s">
        <v>2375</v>
      </c>
      <c r="L13" s="298"/>
      <c r="M13" s="298" t="s">
        <v>2766</v>
      </c>
      <c r="N13" s="298"/>
      <c r="O13" s="318" t="s">
        <v>2827</v>
      </c>
      <c r="P13" s="298"/>
      <c r="Q13" s="298"/>
      <c r="R13" s="298"/>
      <c r="S13" s="298"/>
      <c r="T13" s="320" t="s">
        <v>2233</v>
      </c>
    </row>
    <row r="14" spans="1:20" s="322" customFormat="1" ht="121.5">
      <c r="A14" s="298" t="s">
        <v>2236</v>
      </c>
      <c r="B14" s="298" t="s">
        <v>2477</v>
      </c>
      <c r="C14" s="298" t="s">
        <v>2564</v>
      </c>
      <c r="D14" s="298" t="s">
        <v>2374</v>
      </c>
      <c r="E14" s="298" t="s">
        <v>38</v>
      </c>
      <c r="F14" s="298" t="s">
        <v>45</v>
      </c>
      <c r="G14" s="298" t="s">
        <v>2248</v>
      </c>
      <c r="H14" s="298" t="s">
        <v>39</v>
      </c>
      <c r="I14" s="298" t="s">
        <v>2633</v>
      </c>
      <c r="J14" s="298" t="s">
        <v>2326</v>
      </c>
      <c r="K14" s="298" t="s">
        <v>2378</v>
      </c>
      <c r="L14" s="298"/>
      <c r="M14" s="298" t="s">
        <v>2766</v>
      </c>
      <c r="N14" s="298"/>
      <c r="O14" s="318" t="s">
        <v>2827</v>
      </c>
      <c r="P14" s="298"/>
      <c r="Q14" s="298"/>
      <c r="R14" s="298"/>
      <c r="S14" s="298"/>
      <c r="T14" s="320" t="s">
        <v>2233</v>
      </c>
    </row>
    <row r="15" spans="1:20" s="322" customFormat="1" ht="67.5">
      <c r="A15" s="298" t="s">
        <v>2236</v>
      </c>
      <c r="B15" s="298" t="s">
        <v>2477</v>
      </c>
      <c r="C15" s="298" t="s">
        <v>2564</v>
      </c>
      <c r="D15" s="298" t="s">
        <v>2374</v>
      </c>
      <c r="E15" s="298" t="s">
        <v>38</v>
      </c>
      <c r="F15" s="298" t="s">
        <v>45</v>
      </c>
      <c r="G15" s="298" t="s">
        <v>2248</v>
      </c>
      <c r="H15" s="298" t="s">
        <v>39</v>
      </c>
      <c r="I15" s="298" t="s">
        <v>2832</v>
      </c>
      <c r="J15" s="298" t="s">
        <v>2376</v>
      </c>
      <c r="K15" s="298" t="s">
        <v>2377</v>
      </c>
      <c r="L15" s="298"/>
      <c r="M15" s="298" t="s">
        <v>2766</v>
      </c>
      <c r="N15" s="298"/>
      <c r="O15" s="318" t="s">
        <v>2827</v>
      </c>
      <c r="P15" s="298"/>
      <c r="Q15" s="298"/>
      <c r="R15" s="298"/>
      <c r="S15" s="298"/>
      <c r="T15" s="320" t="s">
        <v>2233</v>
      </c>
    </row>
    <row r="16" spans="1:20" s="322" customFormat="1" ht="54">
      <c r="A16" s="298" t="s">
        <v>2236</v>
      </c>
      <c r="B16" s="298" t="s">
        <v>2477</v>
      </c>
      <c r="C16" s="298" t="s">
        <v>2564</v>
      </c>
      <c r="D16" s="298" t="s">
        <v>2374</v>
      </c>
      <c r="E16" s="298" t="s">
        <v>38</v>
      </c>
      <c r="F16" s="298" t="s">
        <v>45</v>
      </c>
      <c r="G16" s="298" t="s">
        <v>2248</v>
      </c>
      <c r="H16" s="298" t="s">
        <v>39</v>
      </c>
      <c r="I16" s="298" t="s">
        <v>2634</v>
      </c>
      <c r="J16" s="298" t="s">
        <v>2327</v>
      </c>
      <c r="K16" s="298" t="s">
        <v>2379</v>
      </c>
      <c r="L16" s="298"/>
      <c r="M16" s="298" t="s">
        <v>2766</v>
      </c>
      <c r="N16" s="298"/>
      <c r="O16" s="318" t="s">
        <v>2827</v>
      </c>
      <c r="P16" s="298"/>
      <c r="Q16" s="298"/>
      <c r="R16" s="298"/>
      <c r="S16" s="298"/>
      <c r="T16" s="320" t="s">
        <v>2233</v>
      </c>
    </row>
    <row r="17" spans="1:20" s="322" customFormat="1" ht="121.5">
      <c r="A17" s="298" t="s">
        <v>2236</v>
      </c>
      <c r="B17" s="298" t="s">
        <v>2477</v>
      </c>
      <c r="C17" s="298" t="s">
        <v>2564</v>
      </c>
      <c r="D17" s="298" t="s">
        <v>2450</v>
      </c>
      <c r="E17" s="298" t="s">
        <v>38</v>
      </c>
      <c r="F17" s="298" t="s">
        <v>45</v>
      </c>
      <c r="G17" s="298" t="s">
        <v>2248</v>
      </c>
      <c r="H17" s="298" t="s">
        <v>41</v>
      </c>
      <c r="I17" s="298" t="s">
        <v>2635</v>
      </c>
      <c r="J17" s="298" t="s">
        <v>2331</v>
      </c>
      <c r="K17" s="298" t="s">
        <v>2389</v>
      </c>
      <c r="L17" s="298"/>
      <c r="M17" s="298" t="s">
        <v>2766</v>
      </c>
      <c r="N17" s="298"/>
      <c r="O17" s="318" t="s">
        <v>2827</v>
      </c>
      <c r="P17" s="298"/>
      <c r="Q17" s="298"/>
      <c r="R17" s="298"/>
      <c r="S17" s="298" t="s">
        <v>2559</v>
      </c>
      <c r="T17" s="320" t="s">
        <v>2233</v>
      </c>
    </row>
    <row r="18" spans="1:20" s="322" customFormat="1" ht="27">
      <c r="A18" s="298" t="s">
        <v>2236</v>
      </c>
      <c r="B18" s="298" t="s">
        <v>2478</v>
      </c>
      <c r="C18" s="298" t="s">
        <v>2565</v>
      </c>
      <c r="D18" s="298" t="s">
        <v>2369</v>
      </c>
      <c r="E18" s="298" t="s">
        <v>38</v>
      </c>
      <c r="F18" s="298" t="s">
        <v>45</v>
      </c>
      <c r="G18" s="298" t="s">
        <v>2248</v>
      </c>
      <c r="H18" s="298" t="s">
        <v>39</v>
      </c>
      <c r="I18" s="298" t="s">
        <v>2636</v>
      </c>
      <c r="J18" s="298" t="s">
        <v>2321</v>
      </c>
      <c r="K18" s="298" t="s">
        <v>2466</v>
      </c>
      <c r="L18" s="298"/>
      <c r="M18" s="298" t="s">
        <v>2766</v>
      </c>
      <c r="N18" s="298"/>
      <c r="O18" s="318" t="s">
        <v>2827</v>
      </c>
      <c r="P18" s="298"/>
      <c r="Q18" s="298"/>
      <c r="R18" s="298"/>
      <c r="S18" s="298"/>
      <c r="T18" s="320" t="s">
        <v>2233</v>
      </c>
    </row>
    <row r="19" spans="1:20" s="322" customFormat="1" ht="40.5">
      <c r="A19" s="298" t="s">
        <v>2236</v>
      </c>
      <c r="B19" s="298" t="s">
        <v>2478</v>
      </c>
      <c r="C19" s="298" t="s">
        <v>2565</v>
      </c>
      <c r="D19" s="298" t="s">
        <v>2369</v>
      </c>
      <c r="E19" s="298" t="s">
        <v>38</v>
      </c>
      <c r="F19" s="298" t="s">
        <v>45</v>
      </c>
      <c r="G19" s="298" t="s">
        <v>2248</v>
      </c>
      <c r="H19" s="298" t="s">
        <v>39</v>
      </c>
      <c r="I19" s="298" t="s">
        <v>2637</v>
      </c>
      <c r="J19" s="298" t="s">
        <v>2322</v>
      </c>
      <c r="K19" s="298" t="s">
        <v>2368</v>
      </c>
      <c r="L19" s="298"/>
      <c r="M19" s="298" t="s">
        <v>2766</v>
      </c>
      <c r="N19" s="298"/>
      <c r="O19" s="318" t="s">
        <v>2827</v>
      </c>
      <c r="P19" s="298"/>
      <c r="Q19" s="298"/>
      <c r="R19" s="298"/>
      <c r="S19" s="298"/>
      <c r="T19" s="320" t="s">
        <v>2233</v>
      </c>
    </row>
    <row r="20" spans="1:20" s="322" customFormat="1" ht="54">
      <c r="A20" s="298" t="s">
        <v>2236</v>
      </c>
      <c r="B20" s="298" t="s">
        <v>2478</v>
      </c>
      <c r="C20" s="298" t="s">
        <v>2565</v>
      </c>
      <c r="D20" s="298" t="s">
        <v>2369</v>
      </c>
      <c r="E20" s="298" t="s">
        <v>38</v>
      </c>
      <c r="F20" s="298" t="s">
        <v>45</v>
      </c>
      <c r="G20" s="298" t="s">
        <v>2248</v>
      </c>
      <c r="H20" s="298" t="s">
        <v>39</v>
      </c>
      <c r="I20" s="298" t="s">
        <v>2638</v>
      </c>
      <c r="J20" s="298" t="s">
        <v>2483</v>
      </c>
      <c r="K20" s="298" t="s">
        <v>2805</v>
      </c>
      <c r="L20" s="298"/>
      <c r="M20" s="298" t="s">
        <v>2766</v>
      </c>
      <c r="N20" s="298"/>
      <c r="O20" s="318" t="s">
        <v>2827</v>
      </c>
      <c r="P20" s="298"/>
      <c r="Q20" s="298"/>
      <c r="R20" s="298"/>
      <c r="S20" s="298"/>
      <c r="T20" s="320" t="s">
        <v>2233</v>
      </c>
    </row>
    <row r="21" spans="1:20" s="322" customFormat="1" ht="67.5">
      <c r="A21" s="298" t="s">
        <v>2236</v>
      </c>
      <c r="B21" s="298" t="s">
        <v>2478</v>
      </c>
      <c r="C21" s="298" t="s">
        <v>2565</v>
      </c>
      <c r="D21" s="298" t="s">
        <v>2369</v>
      </c>
      <c r="E21" s="298" t="s">
        <v>38</v>
      </c>
      <c r="F21" s="298" t="s">
        <v>45</v>
      </c>
      <c r="G21" s="298" t="s">
        <v>2248</v>
      </c>
      <c r="H21" s="298" t="s">
        <v>39</v>
      </c>
      <c r="I21" s="298" t="s">
        <v>2246</v>
      </c>
      <c r="J21" s="298" t="s">
        <v>2484</v>
      </c>
      <c r="K21" s="298" t="s">
        <v>2806</v>
      </c>
      <c r="L21" s="298"/>
      <c r="M21" s="298" t="s">
        <v>2766</v>
      </c>
      <c r="N21" s="298"/>
      <c r="O21" s="318" t="s">
        <v>2827</v>
      </c>
      <c r="P21" s="298"/>
      <c r="Q21" s="298"/>
      <c r="R21" s="298"/>
      <c r="S21" s="298"/>
      <c r="T21" s="320" t="s">
        <v>2233</v>
      </c>
    </row>
    <row r="22" spans="1:20" s="322" customFormat="1" ht="40.5">
      <c r="A22" s="298" t="s">
        <v>2236</v>
      </c>
      <c r="B22" s="298" t="s">
        <v>2478</v>
      </c>
      <c r="C22" s="298" t="s">
        <v>2565</v>
      </c>
      <c r="D22" s="298" t="s">
        <v>2369</v>
      </c>
      <c r="E22" s="298" t="s">
        <v>1732</v>
      </c>
      <c r="F22" s="298" t="s">
        <v>45</v>
      </c>
      <c r="G22" s="298" t="s">
        <v>2248</v>
      </c>
      <c r="H22" s="298" t="s">
        <v>39</v>
      </c>
      <c r="I22" s="298" t="s">
        <v>2247</v>
      </c>
      <c r="J22" s="298" t="s">
        <v>2323</v>
      </c>
      <c r="K22" s="298" t="s">
        <v>2370</v>
      </c>
      <c r="L22" s="298"/>
      <c r="M22" s="298" t="s">
        <v>2766</v>
      </c>
      <c r="N22" s="298"/>
      <c r="O22" s="318" t="s">
        <v>2827</v>
      </c>
      <c r="P22" s="298"/>
      <c r="Q22" s="298"/>
      <c r="R22" s="298"/>
      <c r="S22" s="298"/>
      <c r="T22" s="320" t="s">
        <v>2233</v>
      </c>
    </row>
    <row r="23" spans="1:20" s="322" customFormat="1" ht="27">
      <c r="A23" s="298" t="s">
        <v>2236</v>
      </c>
      <c r="B23" s="298" t="s">
        <v>2478</v>
      </c>
      <c r="C23" s="298" t="s">
        <v>2565</v>
      </c>
      <c r="D23" s="298" t="s">
        <v>2369</v>
      </c>
      <c r="E23" s="298" t="s">
        <v>38</v>
      </c>
      <c r="F23" s="298" t="s">
        <v>45</v>
      </c>
      <c r="G23" s="298" t="s">
        <v>2248</v>
      </c>
      <c r="H23" s="298" t="s">
        <v>41</v>
      </c>
      <c r="I23" s="298" t="s">
        <v>2639</v>
      </c>
      <c r="J23" s="298" t="s">
        <v>2380</v>
      </c>
      <c r="K23" s="298" t="s">
        <v>2381</v>
      </c>
      <c r="L23" s="298"/>
      <c r="M23" s="298" t="s">
        <v>2766</v>
      </c>
      <c r="N23" s="298"/>
      <c r="O23" s="318" t="s">
        <v>2827</v>
      </c>
      <c r="P23" s="298"/>
      <c r="Q23" s="298"/>
      <c r="R23" s="298"/>
      <c r="S23" s="298" t="s">
        <v>2559</v>
      </c>
      <c r="T23" s="320" t="s">
        <v>2233</v>
      </c>
    </row>
    <row r="24" spans="1:20" s="322" customFormat="1" ht="94.5">
      <c r="A24" s="298" t="s">
        <v>2236</v>
      </c>
      <c r="B24" s="298" t="s">
        <v>2478</v>
      </c>
      <c r="C24" s="298" t="s">
        <v>2565</v>
      </c>
      <c r="D24" s="298" t="s">
        <v>2369</v>
      </c>
      <c r="E24" s="298" t="s">
        <v>38</v>
      </c>
      <c r="F24" s="298" t="s">
        <v>45</v>
      </c>
      <c r="G24" s="298" t="s">
        <v>2248</v>
      </c>
      <c r="H24" s="298" t="s">
        <v>39</v>
      </c>
      <c r="I24" s="298" t="s">
        <v>2640</v>
      </c>
      <c r="J24" s="298" t="s">
        <v>2330</v>
      </c>
      <c r="K24" s="298" t="s">
        <v>2807</v>
      </c>
      <c r="L24" s="298"/>
      <c r="M24" s="298" t="s">
        <v>2766</v>
      </c>
      <c r="N24" s="298"/>
      <c r="O24" s="318" t="s">
        <v>2827</v>
      </c>
      <c r="P24" s="298" t="s">
        <v>2779</v>
      </c>
      <c r="Q24" s="298"/>
      <c r="R24" s="298"/>
      <c r="S24" s="298"/>
      <c r="T24" s="320" t="s">
        <v>2233</v>
      </c>
    </row>
    <row r="25" spans="1:20" s="322" customFormat="1" ht="175.5">
      <c r="A25" s="298" t="s">
        <v>2236</v>
      </c>
      <c r="B25" s="298" t="s">
        <v>2478</v>
      </c>
      <c r="C25" s="298" t="s">
        <v>2565</v>
      </c>
      <c r="D25" s="298" t="s">
        <v>2485</v>
      </c>
      <c r="E25" s="298" t="s">
        <v>38</v>
      </c>
      <c r="F25" s="298" t="s">
        <v>45</v>
      </c>
      <c r="G25" s="298" t="s">
        <v>2248</v>
      </c>
      <c r="H25" s="298" t="s">
        <v>41</v>
      </c>
      <c r="I25" s="298" t="s">
        <v>2641</v>
      </c>
      <c r="J25" s="298" t="s">
        <v>2333</v>
      </c>
      <c r="K25" s="298" t="s">
        <v>2808</v>
      </c>
      <c r="L25" s="298"/>
      <c r="M25" s="298" t="s">
        <v>2766</v>
      </c>
      <c r="N25" s="298"/>
      <c r="O25" s="318" t="s">
        <v>2827</v>
      </c>
      <c r="P25" s="298"/>
      <c r="Q25" s="298"/>
      <c r="R25" s="298"/>
      <c r="S25" s="298" t="s">
        <v>2559</v>
      </c>
      <c r="T25" s="320" t="s">
        <v>2233</v>
      </c>
    </row>
    <row r="26" spans="1:20" s="322" customFormat="1" ht="108">
      <c r="A26" s="298" t="s">
        <v>2236</v>
      </c>
      <c r="B26" s="298" t="s">
        <v>2480</v>
      </c>
      <c r="C26" s="298" t="s">
        <v>2566</v>
      </c>
      <c r="D26" s="298" t="s">
        <v>2481</v>
      </c>
      <c r="E26" s="298" t="s">
        <v>38</v>
      </c>
      <c r="F26" s="298" t="s">
        <v>45</v>
      </c>
      <c r="G26" s="298" t="s">
        <v>2248</v>
      </c>
      <c r="H26" s="298" t="s">
        <v>39</v>
      </c>
      <c r="I26" s="298" t="s">
        <v>2642</v>
      </c>
      <c r="J26" s="298" t="s">
        <v>2329</v>
      </c>
      <c r="K26" s="298" t="s">
        <v>2809</v>
      </c>
      <c r="L26" s="298"/>
      <c r="M26" s="298" t="s">
        <v>2766</v>
      </c>
      <c r="N26" s="298"/>
      <c r="O26" s="318" t="s">
        <v>2827</v>
      </c>
      <c r="P26" s="298"/>
      <c r="Q26" s="298"/>
      <c r="R26" s="298"/>
      <c r="S26" s="298"/>
      <c r="T26" s="320" t="s">
        <v>2233</v>
      </c>
    </row>
    <row r="27" spans="1:20" s="322" customFormat="1" ht="94.5">
      <c r="A27" s="329" t="s">
        <v>2236</v>
      </c>
      <c r="B27" s="329" t="s">
        <v>2569</v>
      </c>
      <c r="C27" s="329" t="s">
        <v>2567</v>
      </c>
      <c r="D27" s="329" t="s">
        <v>2486</v>
      </c>
      <c r="E27" s="329" t="s">
        <v>38</v>
      </c>
      <c r="F27" s="329" t="s">
        <v>45</v>
      </c>
      <c r="G27" s="329" t="s">
        <v>2248</v>
      </c>
      <c r="H27" s="329" t="s">
        <v>41</v>
      </c>
      <c r="I27" s="329" t="s">
        <v>2643</v>
      </c>
      <c r="J27" s="329" t="s">
        <v>2443</v>
      </c>
      <c r="K27" s="329" t="s">
        <v>2810</v>
      </c>
      <c r="L27" s="329"/>
      <c r="M27" s="329" t="s">
        <v>2766</v>
      </c>
      <c r="N27" s="329"/>
      <c r="O27" s="318" t="s">
        <v>2827</v>
      </c>
      <c r="P27" s="329"/>
      <c r="Q27" s="329"/>
      <c r="R27" s="329"/>
      <c r="S27" s="329" t="s">
        <v>2559</v>
      </c>
      <c r="T27" s="332" t="s">
        <v>2233</v>
      </c>
    </row>
    <row r="28" spans="1:20" s="322" customFormat="1" ht="81">
      <c r="A28" s="329" t="s">
        <v>2236</v>
      </c>
      <c r="B28" s="329" t="s">
        <v>2568</v>
      </c>
      <c r="C28" s="329" t="s">
        <v>2567</v>
      </c>
      <c r="D28" s="329" t="s">
        <v>2486</v>
      </c>
      <c r="E28" s="329" t="s">
        <v>38</v>
      </c>
      <c r="F28" s="329" t="s">
        <v>45</v>
      </c>
      <c r="G28" s="329" t="s">
        <v>2248</v>
      </c>
      <c r="H28" s="329" t="s">
        <v>41</v>
      </c>
      <c r="I28" s="329" t="s">
        <v>2644</v>
      </c>
      <c r="J28" s="329" t="s">
        <v>2442</v>
      </c>
      <c r="K28" s="329" t="s">
        <v>2811</v>
      </c>
      <c r="L28" s="329"/>
      <c r="M28" s="329" t="s">
        <v>2766</v>
      </c>
      <c r="N28" s="329"/>
      <c r="O28" s="318" t="s">
        <v>2827</v>
      </c>
      <c r="P28" s="329"/>
      <c r="Q28" s="329"/>
      <c r="R28" s="329"/>
      <c r="S28" s="329" t="s">
        <v>2559</v>
      </c>
      <c r="T28" s="332" t="s">
        <v>2233</v>
      </c>
    </row>
    <row r="29" spans="1:20" s="322" customFormat="1" ht="54">
      <c r="A29" s="329" t="s">
        <v>2236</v>
      </c>
      <c r="B29" s="329" t="s">
        <v>2568</v>
      </c>
      <c r="C29" s="329" t="s">
        <v>2567</v>
      </c>
      <c r="D29" s="329" t="s">
        <v>2486</v>
      </c>
      <c r="E29" s="329" t="s">
        <v>38</v>
      </c>
      <c r="F29" s="329" t="s">
        <v>45</v>
      </c>
      <c r="G29" s="329" t="s">
        <v>2248</v>
      </c>
      <c r="H29" s="329" t="s">
        <v>41</v>
      </c>
      <c r="I29" s="329" t="s">
        <v>2645</v>
      </c>
      <c r="J29" s="329" t="s">
        <v>2285</v>
      </c>
      <c r="K29" s="329" t="s">
        <v>2812</v>
      </c>
      <c r="L29" s="329"/>
      <c r="M29" s="329" t="s">
        <v>2766</v>
      </c>
      <c r="N29" s="329"/>
      <c r="O29" s="318" t="s">
        <v>2827</v>
      </c>
      <c r="P29" s="329"/>
      <c r="Q29" s="329"/>
      <c r="R29" s="329"/>
      <c r="S29" s="329" t="s">
        <v>2559</v>
      </c>
      <c r="T29" s="332" t="s">
        <v>2233</v>
      </c>
    </row>
    <row r="30" spans="1:20" s="322" customFormat="1" ht="189">
      <c r="A30" s="329" t="s">
        <v>2236</v>
      </c>
      <c r="B30" s="329" t="s">
        <v>2568</v>
      </c>
      <c r="C30" s="329" t="s">
        <v>2567</v>
      </c>
      <c r="D30" s="329" t="s">
        <v>2486</v>
      </c>
      <c r="E30" s="329" t="s">
        <v>38</v>
      </c>
      <c r="F30" s="329" t="s">
        <v>45</v>
      </c>
      <c r="G30" s="329" t="s">
        <v>2248</v>
      </c>
      <c r="H30" s="329" t="s">
        <v>41</v>
      </c>
      <c r="I30" s="329" t="s">
        <v>2646</v>
      </c>
      <c r="J30" s="329" t="s">
        <v>2286</v>
      </c>
      <c r="K30" s="329" t="s">
        <v>2813</v>
      </c>
      <c r="L30" s="329"/>
      <c r="M30" s="329" t="s">
        <v>2766</v>
      </c>
      <c r="N30" s="329"/>
      <c r="O30" s="318" t="s">
        <v>2827</v>
      </c>
      <c r="P30" s="329"/>
      <c r="Q30" s="329"/>
      <c r="R30" s="329"/>
      <c r="S30" s="329" t="s">
        <v>2559</v>
      </c>
      <c r="T30" s="332" t="s">
        <v>2233</v>
      </c>
    </row>
    <row r="31" spans="1:20" s="322" customFormat="1" ht="67.5">
      <c r="A31" s="298" t="s">
        <v>2236</v>
      </c>
      <c r="B31" s="298" t="s">
        <v>2568</v>
      </c>
      <c r="C31" s="298" t="s">
        <v>2567</v>
      </c>
      <c r="D31" s="298" t="s">
        <v>2486</v>
      </c>
      <c r="E31" s="298" t="s">
        <v>38</v>
      </c>
      <c r="F31" s="298" t="s">
        <v>45</v>
      </c>
      <c r="G31" s="298" t="s">
        <v>2248</v>
      </c>
      <c r="H31" s="298" t="s">
        <v>41</v>
      </c>
      <c r="I31" s="298" t="s">
        <v>2647</v>
      </c>
      <c r="J31" s="298" t="s">
        <v>2328</v>
      </c>
      <c r="K31" s="298" t="s">
        <v>2814</v>
      </c>
      <c r="L31" s="298"/>
      <c r="M31" s="298" t="s">
        <v>2766</v>
      </c>
      <c r="N31" s="298"/>
      <c r="O31" s="318" t="s">
        <v>2827</v>
      </c>
      <c r="P31" s="298"/>
      <c r="Q31" s="298"/>
      <c r="R31" s="298"/>
      <c r="S31" s="298" t="s">
        <v>2559</v>
      </c>
      <c r="T31" s="320" t="s">
        <v>2233</v>
      </c>
    </row>
    <row r="32" spans="1:20" s="322" customFormat="1" ht="81">
      <c r="A32" s="298" t="s">
        <v>2236</v>
      </c>
      <c r="B32" s="298" t="s">
        <v>2568</v>
      </c>
      <c r="C32" s="298" t="s">
        <v>2567</v>
      </c>
      <c r="D32" s="298" t="s">
        <v>2486</v>
      </c>
      <c r="E32" s="298" t="s">
        <v>38</v>
      </c>
      <c r="F32" s="298" t="s">
        <v>45</v>
      </c>
      <c r="G32" s="298" t="s">
        <v>2248</v>
      </c>
      <c r="H32" s="298" t="s">
        <v>41</v>
      </c>
      <c r="I32" s="298" t="s">
        <v>2648</v>
      </c>
      <c r="J32" s="298" t="s">
        <v>2332</v>
      </c>
      <c r="K32" s="298" t="s">
        <v>2383</v>
      </c>
      <c r="L32" s="298"/>
      <c r="M32" s="298" t="s">
        <v>2766</v>
      </c>
      <c r="N32" s="298"/>
      <c r="O32" s="318" t="s">
        <v>2827</v>
      </c>
      <c r="P32" s="298"/>
      <c r="Q32" s="298"/>
      <c r="R32" s="298"/>
      <c r="S32" s="298" t="s">
        <v>2558</v>
      </c>
      <c r="T32" s="320" t="s">
        <v>2233</v>
      </c>
    </row>
    <row r="33" spans="1:20" s="322" customFormat="1" ht="54">
      <c r="A33" s="298" t="s">
        <v>2237</v>
      </c>
      <c r="B33" s="298" t="s">
        <v>2487</v>
      </c>
      <c r="C33" s="298" t="s">
        <v>2570</v>
      </c>
      <c r="D33" s="304" t="s">
        <v>2448</v>
      </c>
      <c r="E33" s="298" t="s">
        <v>38</v>
      </c>
      <c r="F33" s="298" t="s">
        <v>45</v>
      </c>
      <c r="G33" s="298" t="s">
        <v>2248</v>
      </c>
      <c r="H33" s="298" t="s">
        <v>39</v>
      </c>
      <c r="I33" s="298" t="s">
        <v>2649</v>
      </c>
      <c r="J33" s="298" t="s">
        <v>2350</v>
      </c>
      <c r="K33" s="298" t="s">
        <v>2400</v>
      </c>
      <c r="L33" s="298"/>
      <c r="M33" s="298" t="s">
        <v>2758</v>
      </c>
      <c r="N33" s="298"/>
      <c r="O33" s="318" t="s">
        <v>2827</v>
      </c>
      <c r="P33" s="298"/>
      <c r="Q33" s="298"/>
      <c r="R33" s="298"/>
      <c r="S33" s="298"/>
      <c r="T33" s="320" t="s">
        <v>2233</v>
      </c>
    </row>
    <row r="34" spans="1:20" s="322" customFormat="1" ht="81">
      <c r="A34" s="298" t="s">
        <v>2237</v>
      </c>
      <c r="B34" s="298" t="s">
        <v>2487</v>
      </c>
      <c r="C34" s="298" t="s">
        <v>2570</v>
      </c>
      <c r="D34" s="304" t="s">
        <v>2448</v>
      </c>
      <c r="E34" s="298" t="s">
        <v>38</v>
      </c>
      <c r="F34" s="298" t="s">
        <v>45</v>
      </c>
      <c r="G34" s="298" t="s">
        <v>2248</v>
      </c>
      <c r="H34" s="298" t="s">
        <v>39</v>
      </c>
      <c r="I34" s="298" t="s">
        <v>2650</v>
      </c>
      <c r="J34" s="298" t="s">
        <v>2351</v>
      </c>
      <c r="K34" s="298" t="s">
        <v>2401</v>
      </c>
      <c r="L34" s="298"/>
      <c r="M34" s="298" t="s">
        <v>2758</v>
      </c>
      <c r="N34" s="298"/>
      <c r="O34" s="318" t="s">
        <v>2827</v>
      </c>
      <c r="P34" s="298"/>
      <c r="Q34" s="298"/>
      <c r="R34" s="298"/>
      <c r="S34" s="298"/>
      <c r="T34" s="320" t="s">
        <v>2233</v>
      </c>
    </row>
    <row r="35" spans="1:20" s="322" customFormat="1" ht="67.5">
      <c r="A35" s="298" t="s">
        <v>2237</v>
      </c>
      <c r="B35" s="298" t="s">
        <v>2487</v>
      </c>
      <c r="C35" s="298" t="s">
        <v>2570</v>
      </c>
      <c r="D35" s="304" t="s">
        <v>2448</v>
      </c>
      <c r="E35" s="298" t="s">
        <v>38</v>
      </c>
      <c r="F35" s="298" t="s">
        <v>45</v>
      </c>
      <c r="G35" s="298" t="s">
        <v>2248</v>
      </c>
      <c r="H35" s="298" t="s">
        <v>39</v>
      </c>
      <c r="I35" s="298" t="s">
        <v>2651</v>
      </c>
      <c r="J35" s="298" t="s">
        <v>2352</v>
      </c>
      <c r="K35" s="298" t="s">
        <v>2405</v>
      </c>
      <c r="L35" s="298"/>
      <c r="M35" s="298" t="s">
        <v>2758</v>
      </c>
      <c r="N35" s="298"/>
      <c r="O35" s="318" t="s">
        <v>2827</v>
      </c>
      <c r="P35" s="298"/>
      <c r="Q35" s="298"/>
      <c r="R35" s="298"/>
      <c r="S35" s="298"/>
      <c r="T35" s="320" t="s">
        <v>2233</v>
      </c>
    </row>
    <row r="36" spans="1:20" s="322" customFormat="1" ht="81">
      <c r="A36" s="298" t="s">
        <v>2237</v>
      </c>
      <c r="B36" s="298" t="s">
        <v>2487</v>
      </c>
      <c r="C36" s="298" t="s">
        <v>2570</v>
      </c>
      <c r="D36" s="304" t="s">
        <v>2448</v>
      </c>
      <c r="E36" s="298" t="s">
        <v>38</v>
      </c>
      <c r="F36" s="298" t="s">
        <v>45</v>
      </c>
      <c r="G36" s="298" t="s">
        <v>2248</v>
      </c>
      <c r="H36" s="298" t="s">
        <v>39</v>
      </c>
      <c r="I36" s="298" t="s">
        <v>2652</v>
      </c>
      <c r="J36" s="298" t="s">
        <v>2352</v>
      </c>
      <c r="K36" s="298" t="s">
        <v>2404</v>
      </c>
      <c r="L36" s="298"/>
      <c r="M36" s="298" t="s">
        <v>2758</v>
      </c>
      <c r="N36" s="298"/>
      <c r="O36" s="318" t="s">
        <v>2827</v>
      </c>
      <c r="P36" s="298"/>
      <c r="Q36" s="298"/>
      <c r="R36" s="298"/>
      <c r="S36" s="298"/>
      <c r="T36" s="320" t="s">
        <v>2233</v>
      </c>
    </row>
    <row r="37" spans="1:20" s="322" customFormat="1" ht="81">
      <c r="A37" s="298" t="s">
        <v>2237</v>
      </c>
      <c r="B37" s="298" t="s">
        <v>2487</v>
      </c>
      <c r="C37" s="298" t="s">
        <v>2570</v>
      </c>
      <c r="D37" s="304" t="s">
        <v>2448</v>
      </c>
      <c r="E37" s="298" t="s">
        <v>38</v>
      </c>
      <c r="F37" s="298" t="s">
        <v>45</v>
      </c>
      <c r="G37" s="298" t="s">
        <v>2248</v>
      </c>
      <c r="H37" s="298" t="s">
        <v>39</v>
      </c>
      <c r="I37" s="298" t="s">
        <v>2653</v>
      </c>
      <c r="J37" s="298" t="s">
        <v>2352</v>
      </c>
      <c r="K37" s="298" t="s">
        <v>2403</v>
      </c>
      <c r="L37" s="298"/>
      <c r="M37" s="298" t="s">
        <v>2758</v>
      </c>
      <c r="N37" s="298"/>
      <c r="O37" s="318" t="s">
        <v>2827</v>
      </c>
      <c r="P37" s="298"/>
      <c r="Q37" s="298"/>
      <c r="R37" s="298"/>
      <c r="S37" s="298"/>
      <c r="T37" s="320" t="s">
        <v>2233</v>
      </c>
    </row>
    <row r="38" spans="1:20" s="322" customFormat="1" ht="81">
      <c r="A38" s="298" t="s">
        <v>2237</v>
      </c>
      <c r="B38" s="298" t="s">
        <v>2487</v>
      </c>
      <c r="C38" s="298" t="s">
        <v>2570</v>
      </c>
      <c r="D38" s="304" t="s">
        <v>2448</v>
      </c>
      <c r="E38" s="298" t="s">
        <v>38</v>
      </c>
      <c r="F38" s="298" t="s">
        <v>45</v>
      </c>
      <c r="G38" s="298" t="s">
        <v>2248</v>
      </c>
      <c r="H38" s="298" t="s">
        <v>39</v>
      </c>
      <c r="I38" s="298" t="s">
        <v>2654</v>
      </c>
      <c r="J38" s="298" t="s">
        <v>2353</v>
      </c>
      <c r="K38" s="298" t="s">
        <v>2402</v>
      </c>
      <c r="L38" s="298"/>
      <c r="M38" s="298" t="s">
        <v>2758</v>
      </c>
      <c r="N38" s="298"/>
      <c r="O38" s="318" t="s">
        <v>2827</v>
      </c>
      <c r="P38" s="298"/>
      <c r="Q38" s="298"/>
      <c r="R38" s="298"/>
      <c r="S38" s="298"/>
      <c r="T38" s="320" t="s">
        <v>2233</v>
      </c>
    </row>
    <row r="39" spans="1:20" s="322" customFormat="1" ht="54">
      <c r="A39" s="298" t="s">
        <v>2237</v>
      </c>
      <c r="B39" s="298" t="s">
        <v>2487</v>
      </c>
      <c r="C39" s="298" t="s">
        <v>2570</v>
      </c>
      <c r="D39" s="304" t="s">
        <v>2448</v>
      </c>
      <c r="E39" s="298" t="s">
        <v>38</v>
      </c>
      <c r="F39" s="298" t="s">
        <v>45</v>
      </c>
      <c r="G39" s="298" t="s">
        <v>2248</v>
      </c>
      <c r="H39" s="298" t="s">
        <v>39</v>
      </c>
      <c r="I39" s="298" t="s">
        <v>2655</v>
      </c>
      <c r="J39" s="298" t="s">
        <v>2353</v>
      </c>
      <c r="K39" s="298" t="s">
        <v>2406</v>
      </c>
      <c r="L39" s="298"/>
      <c r="M39" s="298" t="s">
        <v>2758</v>
      </c>
      <c r="N39" s="298"/>
      <c r="O39" s="318" t="s">
        <v>2827</v>
      </c>
      <c r="P39" s="298"/>
      <c r="Q39" s="298"/>
      <c r="R39" s="298"/>
      <c r="S39" s="298"/>
      <c r="T39" s="320" t="s">
        <v>2233</v>
      </c>
    </row>
    <row r="40" spans="1:20" s="322" customFormat="1" ht="54">
      <c r="A40" s="298" t="s">
        <v>2237</v>
      </c>
      <c r="B40" s="298" t="s">
        <v>2487</v>
      </c>
      <c r="C40" s="298" t="s">
        <v>2570</v>
      </c>
      <c r="D40" s="304" t="s">
        <v>2448</v>
      </c>
      <c r="E40" s="298" t="s">
        <v>38</v>
      </c>
      <c r="F40" s="298" t="s">
        <v>45</v>
      </c>
      <c r="G40" s="298" t="s">
        <v>2248</v>
      </c>
      <c r="H40" s="298" t="s">
        <v>39</v>
      </c>
      <c r="I40" s="298" t="s">
        <v>2656</v>
      </c>
      <c r="J40" s="298" t="s">
        <v>2353</v>
      </c>
      <c r="K40" s="298" t="s">
        <v>2407</v>
      </c>
      <c r="L40" s="298"/>
      <c r="M40" s="298" t="s">
        <v>2758</v>
      </c>
      <c r="N40" s="298"/>
      <c r="O40" s="318" t="s">
        <v>2827</v>
      </c>
      <c r="P40" s="298"/>
      <c r="Q40" s="298"/>
      <c r="R40" s="298"/>
      <c r="S40" s="298"/>
      <c r="T40" s="320" t="s">
        <v>2233</v>
      </c>
    </row>
    <row r="41" spans="1:20" s="322" customFormat="1" ht="54">
      <c r="A41" s="298" t="s">
        <v>2237</v>
      </c>
      <c r="B41" s="298" t="s">
        <v>2487</v>
      </c>
      <c r="C41" s="298" t="s">
        <v>2570</v>
      </c>
      <c r="D41" s="304" t="s">
        <v>2448</v>
      </c>
      <c r="E41" s="298" t="s">
        <v>38</v>
      </c>
      <c r="F41" s="298" t="s">
        <v>45</v>
      </c>
      <c r="G41" s="298" t="s">
        <v>2248</v>
      </c>
      <c r="H41" s="298" t="s">
        <v>39</v>
      </c>
      <c r="I41" s="298" t="s">
        <v>2657</v>
      </c>
      <c r="J41" s="298" t="s">
        <v>2353</v>
      </c>
      <c r="K41" s="298" t="s">
        <v>2408</v>
      </c>
      <c r="L41" s="298"/>
      <c r="M41" s="298" t="s">
        <v>2758</v>
      </c>
      <c r="N41" s="298"/>
      <c r="O41" s="318" t="s">
        <v>2827</v>
      </c>
      <c r="P41" s="298"/>
      <c r="Q41" s="298"/>
      <c r="R41" s="298"/>
      <c r="S41" s="298"/>
      <c r="T41" s="320" t="s">
        <v>2233</v>
      </c>
    </row>
    <row r="42" spans="1:20" s="322" customFormat="1" ht="54">
      <c r="A42" s="298" t="s">
        <v>2237</v>
      </c>
      <c r="B42" s="298" t="s">
        <v>2487</v>
      </c>
      <c r="C42" s="298" t="s">
        <v>2570</v>
      </c>
      <c r="D42" s="304" t="s">
        <v>2448</v>
      </c>
      <c r="E42" s="298" t="s">
        <v>38</v>
      </c>
      <c r="F42" s="298" t="s">
        <v>45</v>
      </c>
      <c r="G42" s="298" t="s">
        <v>2248</v>
      </c>
      <c r="H42" s="298" t="s">
        <v>39</v>
      </c>
      <c r="I42" s="298" t="s">
        <v>2658</v>
      </c>
      <c r="J42" s="298" t="s">
        <v>2354</v>
      </c>
      <c r="K42" s="298" t="s">
        <v>2409</v>
      </c>
      <c r="L42" s="298"/>
      <c r="M42" s="298" t="s">
        <v>2758</v>
      </c>
      <c r="N42" s="298"/>
      <c r="O42" s="318" t="s">
        <v>2827</v>
      </c>
      <c r="P42" s="298"/>
      <c r="Q42" s="298"/>
      <c r="R42" s="298"/>
      <c r="S42" s="298"/>
      <c r="T42" s="320" t="s">
        <v>2233</v>
      </c>
    </row>
    <row r="43" spans="1:20" s="322" customFormat="1" ht="81">
      <c r="A43" s="298" t="s">
        <v>2237</v>
      </c>
      <c r="B43" s="298" t="s">
        <v>2487</v>
      </c>
      <c r="C43" s="298" t="s">
        <v>2570</v>
      </c>
      <c r="D43" s="304" t="s">
        <v>2448</v>
      </c>
      <c r="E43" s="298" t="s">
        <v>38</v>
      </c>
      <c r="F43" s="298" t="s">
        <v>45</v>
      </c>
      <c r="G43" s="298" t="s">
        <v>2248</v>
      </c>
      <c r="H43" s="298" t="s">
        <v>39</v>
      </c>
      <c r="I43" s="298" t="s">
        <v>2659</v>
      </c>
      <c r="J43" s="298" t="s">
        <v>2354</v>
      </c>
      <c r="K43" s="298" t="s">
        <v>2410</v>
      </c>
      <c r="L43" s="298"/>
      <c r="M43" s="298" t="s">
        <v>2758</v>
      </c>
      <c r="N43" s="298"/>
      <c r="O43" s="318" t="s">
        <v>2827</v>
      </c>
      <c r="P43" s="298"/>
      <c r="Q43" s="298"/>
      <c r="R43" s="298"/>
      <c r="S43" s="298"/>
      <c r="T43" s="320" t="s">
        <v>2233</v>
      </c>
    </row>
    <row r="44" spans="1:20" s="322" customFormat="1" ht="81">
      <c r="A44" s="298" t="s">
        <v>2237</v>
      </c>
      <c r="B44" s="298" t="s">
        <v>2487</v>
      </c>
      <c r="C44" s="298" t="s">
        <v>2570</v>
      </c>
      <c r="D44" s="304" t="s">
        <v>2448</v>
      </c>
      <c r="E44" s="298" t="s">
        <v>38</v>
      </c>
      <c r="F44" s="298" t="s">
        <v>45</v>
      </c>
      <c r="G44" s="298" t="s">
        <v>2248</v>
      </c>
      <c r="H44" s="298" t="s">
        <v>39</v>
      </c>
      <c r="I44" s="298" t="s">
        <v>2660</v>
      </c>
      <c r="J44" s="298" t="s">
        <v>2355</v>
      </c>
      <c r="K44" s="298" t="s">
        <v>2411</v>
      </c>
      <c r="L44" s="298"/>
      <c r="M44" s="298" t="s">
        <v>2758</v>
      </c>
      <c r="N44" s="298"/>
      <c r="O44" s="318" t="s">
        <v>2827</v>
      </c>
      <c r="P44" s="298"/>
      <c r="Q44" s="298"/>
      <c r="R44" s="298"/>
      <c r="S44" s="298"/>
      <c r="T44" s="320" t="s">
        <v>2233</v>
      </c>
    </row>
    <row r="45" spans="1:20" s="322" customFormat="1" ht="54">
      <c r="A45" s="298" t="s">
        <v>2237</v>
      </c>
      <c r="B45" s="298" t="s">
        <v>2487</v>
      </c>
      <c r="C45" s="298" t="s">
        <v>2570</v>
      </c>
      <c r="D45" s="304" t="s">
        <v>2448</v>
      </c>
      <c r="E45" s="298" t="s">
        <v>38</v>
      </c>
      <c r="F45" s="298" t="s">
        <v>45</v>
      </c>
      <c r="G45" s="298" t="s">
        <v>2248</v>
      </c>
      <c r="H45" s="298" t="s">
        <v>39</v>
      </c>
      <c r="I45" s="298" t="s">
        <v>2661</v>
      </c>
      <c r="J45" s="298" t="s">
        <v>2356</v>
      </c>
      <c r="K45" s="298" t="s">
        <v>2412</v>
      </c>
      <c r="L45" s="298"/>
      <c r="M45" s="298" t="s">
        <v>2758</v>
      </c>
      <c r="N45" s="298"/>
      <c r="O45" s="318" t="s">
        <v>2827</v>
      </c>
      <c r="P45" s="298"/>
      <c r="Q45" s="298"/>
      <c r="R45" s="298"/>
      <c r="S45" s="298"/>
      <c r="T45" s="320" t="s">
        <v>2233</v>
      </c>
    </row>
    <row r="46" spans="1:20" s="322" customFormat="1" ht="81">
      <c r="A46" s="298" t="s">
        <v>2237</v>
      </c>
      <c r="B46" s="298" t="s">
        <v>2487</v>
      </c>
      <c r="C46" s="298" t="s">
        <v>2570</v>
      </c>
      <c r="D46" s="304" t="s">
        <v>2448</v>
      </c>
      <c r="E46" s="298" t="s">
        <v>38</v>
      </c>
      <c r="F46" s="298" t="s">
        <v>45</v>
      </c>
      <c r="G46" s="298" t="s">
        <v>2248</v>
      </c>
      <c r="H46" s="298" t="s">
        <v>39</v>
      </c>
      <c r="I46" s="298" t="s">
        <v>2662</v>
      </c>
      <c r="J46" s="298" t="s">
        <v>2356</v>
      </c>
      <c r="K46" s="298" t="s">
        <v>2413</v>
      </c>
      <c r="L46" s="298"/>
      <c r="M46" s="298" t="s">
        <v>2758</v>
      </c>
      <c r="N46" s="298"/>
      <c r="O46" s="318" t="s">
        <v>2827</v>
      </c>
      <c r="P46" s="298"/>
      <c r="Q46" s="298"/>
      <c r="R46" s="298"/>
      <c r="S46" s="298"/>
      <c r="T46" s="320" t="s">
        <v>2233</v>
      </c>
    </row>
    <row r="47" spans="1:20" s="322" customFormat="1" ht="54">
      <c r="A47" s="298" t="s">
        <v>2237</v>
      </c>
      <c r="B47" s="298" t="s">
        <v>2487</v>
      </c>
      <c r="C47" s="298" t="s">
        <v>2570</v>
      </c>
      <c r="D47" s="304" t="s">
        <v>2448</v>
      </c>
      <c r="E47" s="298" t="s">
        <v>38</v>
      </c>
      <c r="F47" s="298" t="s">
        <v>45</v>
      </c>
      <c r="G47" s="298" t="s">
        <v>2248</v>
      </c>
      <c r="H47" s="298" t="s">
        <v>39</v>
      </c>
      <c r="I47" s="298" t="s">
        <v>2663</v>
      </c>
      <c r="J47" s="298" t="s">
        <v>2357</v>
      </c>
      <c r="K47" s="298" t="s">
        <v>2414</v>
      </c>
      <c r="L47" s="298"/>
      <c r="M47" s="298" t="s">
        <v>2758</v>
      </c>
      <c r="N47" s="298"/>
      <c r="O47" s="318" t="s">
        <v>2827</v>
      </c>
      <c r="P47" s="298"/>
      <c r="Q47" s="298"/>
      <c r="R47" s="298"/>
      <c r="S47" s="298"/>
      <c r="T47" s="320" t="s">
        <v>2233</v>
      </c>
    </row>
    <row r="48" spans="1:20" s="322" customFormat="1" ht="54">
      <c r="A48" s="298" t="s">
        <v>2237</v>
      </c>
      <c r="B48" s="298" t="s">
        <v>2487</v>
      </c>
      <c r="C48" s="298" t="s">
        <v>2570</v>
      </c>
      <c r="D48" s="304" t="s">
        <v>2448</v>
      </c>
      <c r="E48" s="298" t="s">
        <v>38</v>
      </c>
      <c r="F48" s="298" t="s">
        <v>45</v>
      </c>
      <c r="G48" s="298" t="s">
        <v>2248</v>
      </c>
      <c r="H48" s="298" t="s">
        <v>39</v>
      </c>
      <c r="I48" s="298" t="s">
        <v>2664</v>
      </c>
      <c r="J48" s="298" t="s">
        <v>2357</v>
      </c>
      <c r="K48" s="298" t="s">
        <v>2415</v>
      </c>
      <c r="L48" s="298"/>
      <c r="M48" s="298" t="s">
        <v>2758</v>
      </c>
      <c r="N48" s="298"/>
      <c r="O48" s="318" t="s">
        <v>2827</v>
      </c>
      <c r="P48" s="298"/>
      <c r="Q48" s="298"/>
      <c r="R48" s="298"/>
      <c r="S48" s="298"/>
      <c r="T48" s="320" t="s">
        <v>2233</v>
      </c>
    </row>
    <row r="49" spans="1:20" s="322" customFormat="1" ht="67.5">
      <c r="A49" s="298" t="s">
        <v>2237</v>
      </c>
      <c r="B49" s="298" t="s">
        <v>2487</v>
      </c>
      <c r="C49" s="298" t="s">
        <v>2570</v>
      </c>
      <c r="D49" s="304" t="s">
        <v>2448</v>
      </c>
      <c r="E49" s="298" t="s">
        <v>38</v>
      </c>
      <c r="F49" s="298" t="s">
        <v>45</v>
      </c>
      <c r="G49" s="298" t="s">
        <v>2248</v>
      </c>
      <c r="H49" s="298" t="s">
        <v>39</v>
      </c>
      <c r="I49" s="298" t="s">
        <v>2665</v>
      </c>
      <c r="J49" s="298" t="s">
        <v>2358</v>
      </c>
      <c r="K49" s="298" t="s">
        <v>2417</v>
      </c>
      <c r="L49" s="298"/>
      <c r="M49" s="298" t="s">
        <v>2758</v>
      </c>
      <c r="N49" s="298"/>
      <c r="O49" s="318" t="s">
        <v>2827</v>
      </c>
      <c r="P49" s="298"/>
      <c r="Q49" s="298"/>
      <c r="R49" s="298"/>
      <c r="S49" s="298"/>
      <c r="T49" s="320" t="s">
        <v>2233</v>
      </c>
    </row>
    <row r="50" spans="1:20" s="322" customFormat="1" ht="54">
      <c r="A50" s="298" t="s">
        <v>2237</v>
      </c>
      <c r="B50" s="298" t="s">
        <v>2487</v>
      </c>
      <c r="C50" s="298" t="s">
        <v>2570</v>
      </c>
      <c r="D50" s="304" t="s">
        <v>2448</v>
      </c>
      <c r="E50" s="298" t="s">
        <v>38</v>
      </c>
      <c r="F50" s="298" t="s">
        <v>45</v>
      </c>
      <c r="G50" s="298" t="s">
        <v>2248</v>
      </c>
      <c r="H50" s="298" t="s">
        <v>39</v>
      </c>
      <c r="I50" s="298" t="s">
        <v>2666</v>
      </c>
      <c r="J50" s="298" t="s">
        <v>2358</v>
      </c>
      <c r="K50" s="298" t="s">
        <v>2416</v>
      </c>
      <c r="L50" s="298"/>
      <c r="M50" s="298" t="s">
        <v>2758</v>
      </c>
      <c r="N50" s="298"/>
      <c r="O50" s="318" t="s">
        <v>2827</v>
      </c>
      <c r="P50" s="298"/>
      <c r="Q50" s="298"/>
      <c r="R50" s="298"/>
      <c r="S50" s="298"/>
      <c r="T50" s="320" t="s">
        <v>2233</v>
      </c>
    </row>
    <row r="51" spans="1:20" s="322" customFormat="1" ht="81">
      <c r="A51" s="298" t="s">
        <v>2237</v>
      </c>
      <c r="B51" s="298" t="s">
        <v>2487</v>
      </c>
      <c r="C51" s="298" t="s">
        <v>2570</v>
      </c>
      <c r="D51" s="304" t="s">
        <v>2448</v>
      </c>
      <c r="E51" s="298" t="s">
        <v>38</v>
      </c>
      <c r="F51" s="298" t="s">
        <v>45</v>
      </c>
      <c r="G51" s="298" t="s">
        <v>2248</v>
      </c>
      <c r="H51" s="298" t="s">
        <v>39</v>
      </c>
      <c r="I51" s="298" t="s">
        <v>2667</v>
      </c>
      <c r="J51" s="298" t="s">
        <v>2358</v>
      </c>
      <c r="K51" s="298" t="s">
        <v>2418</v>
      </c>
      <c r="L51" s="298"/>
      <c r="M51" s="298" t="s">
        <v>2758</v>
      </c>
      <c r="N51" s="298"/>
      <c r="O51" s="318" t="s">
        <v>2827</v>
      </c>
      <c r="P51" s="298"/>
      <c r="Q51" s="298"/>
      <c r="R51" s="298"/>
      <c r="S51" s="298"/>
      <c r="T51" s="320" t="s">
        <v>2233</v>
      </c>
    </row>
    <row r="52" spans="1:20" s="322" customFormat="1" ht="67.5">
      <c r="A52" s="298" t="s">
        <v>2237</v>
      </c>
      <c r="B52" s="298" t="s">
        <v>2487</v>
      </c>
      <c r="C52" s="298" t="s">
        <v>2570</v>
      </c>
      <c r="D52" s="304" t="s">
        <v>2448</v>
      </c>
      <c r="E52" s="298" t="s">
        <v>38</v>
      </c>
      <c r="F52" s="298" t="s">
        <v>45</v>
      </c>
      <c r="G52" s="298" t="s">
        <v>2248</v>
      </c>
      <c r="H52" s="298" t="s">
        <v>39</v>
      </c>
      <c r="I52" s="298" t="s">
        <v>2668</v>
      </c>
      <c r="J52" s="298" t="s">
        <v>2358</v>
      </c>
      <c r="K52" s="298" t="s">
        <v>2419</v>
      </c>
      <c r="L52" s="298"/>
      <c r="M52" s="298" t="s">
        <v>2758</v>
      </c>
      <c r="N52" s="298"/>
      <c r="O52" s="318" t="s">
        <v>2827</v>
      </c>
      <c r="P52" s="298"/>
      <c r="Q52" s="298"/>
      <c r="R52" s="298"/>
      <c r="S52" s="298"/>
      <c r="T52" s="320" t="s">
        <v>2233</v>
      </c>
    </row>
    <row r="53" spans="1:20" s="322" customFormat="1" ht="81">
      <c r="A53" s="298" t="s">
        <v>2237</v>
      </c>
      <c r="B53" s="298" t="s">
        <v>2487</v>
      </c>
      <c r="C53" s="298" t="s">
        <v>2570</v>
      </c>
      <c r="D53" s="304" t="s">
        <v>2448</v>
      </c>
      <c r="E53" s="298" t="s">
        <v>38</v>
      </c>
      <c r="F53" s="298" t="s">
        <v>45</v>
      </c>
      <c r="G53" s="298" t="s">
        <v>2248</v>
      </c>
      <c r="H53" s="298" t="s">
        <v>39</v>
      </c>
      <c r="I53" s="298" t="s">
        <v>2669</v>
      </c>
      <c r="J53" s="298" t="s">
        <v>2359</v>
      </c>
      <c r="K53" s="298" t="s">
        <v>2420</v>
      </c>
      <c r="L53" s="298"/>
      <c r="M53" s="298" t="s">
        <v>2758</v>
      </c>
      <c r="N53" s="298"/>
      <c r="O53" s="318" t="s">
        <v>2827</v>
      </c>
      <c r="P53" s="298"/>
      <c r="Q53" s="298"/>
      <c r="R53" s="298"/>
      <c r="S53" s="298"/>
      <c r="T53" s="320" t="s">
        <v>2233</v>
      </c>
    </row>
    <row r="54" spans="1:20" s="322" customFormat="1" ht="81">
      <c r="A54" s="298" t="s">
        <v>2237</v>
      </c>
      <c r="B54" s="298" t="s">
        <v>2487</v>
      </c>
      <c r="C54" s="298" t="s">
        <v>2570</v>
      </c>
      <c r="D54" s="304" t="s">
        <v>2448</v>
      </c>
      <c r="E54" s="298" t="s">
        <v>38</v>
      </c>
      <c r="F54" s="298" t="s">
        <v>45</v>
      </c>
      <c r="G54" s="298" t="s">
        <v>2248</v>
      </c>
      <c r="H54" s="298" t="s">
        <v>39</v>
      </c>
      <c r="I54" s="298" t="s">
        <v>2670</v>
      </c>
      <c r="J54" s="298" t="s">
        <v>2360</v>
      </c>
      <c r="K54" s="298" t="s">
        <v>2421</v>
      </c>
      <c r="L54" s="298"/>
      <c r="M54" s="298" t="s">
        <v>2758</v>
      </c>
      <c r="N54" s="298"/>
      <c r="O54" s="318" t="s">
        <v>2827</v>
      </c>
      <c r="P54" s="298"/>
      <c r="Q54" s="298"/>
      <c r="R54" s="298"/>
      <c r="S54" s="298"/>
      <c r="T54" s="320" t="s">
        <v>2233</v>
      </c>
    </row>
    <row r="55" spans="1:20" s="322" customFormat="1" ht="81">
      <c r="A55" s="298" t="s">
        <v>2237</v>
      </c>
      <c r="B55" s="298" t="s">
        <v>2487</v>
      </c>
      <c r="C55" s="298" t="s">
        <v>2570</v>
      </c>
      <c r="D55" s="304" t="s">
        <v>2448</v>
      </c>
      <c r="E55" s="298" t="s">
        <v>38</v>
      </c>
      <c r="F55" s="298" t="s">
        <v>45</v>
      </c>
      <c r="G55" s="298" t="s">
        <v>2248</v>
      </c>
      <c r="H55" s="298" t="s">
        <v>39</v>
      </c>
      <c r="I55" s="298" t="s">
        <v>2671</v>
      </c>
      <c r="J55" s="298" t="s">
        <v>2361</v>
      </c>
      <c r="K55" s="298" t="s">
        <v>2422</v>
      </c>
      <c r="L55" s="298"/>
      <c r="M55" s="298" t="s">
        <v>2758</v>
      </c>
      <c r="N55" s="298"/>
      <c r="O55" s="318" t="s">
        <v>2827</v>
      </c>
      <c r="P55" s="298"/>
      <c r="Q55" s="298"/>
      <c r="R55" s="298"/>
      <c r="S55" s="298"/>
      <c r="T55" s="320" t="s">
        <v>2233</v>
      </c>
    </row>
    <row r="56" spans="1:20" s="322" customFormat="1" ht="81">
      <c r="A56" s="298" t="s">
        <v>2237</v>
      </c>
      <c r="B56" s="298" t="s">
        <v>2487</v>
      </c>
      <c r="C56" s="298" t="s">
        <v>2570</v>
      </c>
      <c r="D56" s="304" t="s">
        <v>2448</v>
      </c>
      <c r="E56" s="298" t="s">
        <v>38</v>
      </c>
      <c r="F56" s="298" t="s">
        <v>45</v>
      </c>
      <c r="G56" s="298" t="s">
        <v>2248</v>
      </c>
      <c r="H56" s="298" t="s">
        <v>39</v>
      </c>
      <c r="I56" s="298" t="s">
        <v>2672</v>
      </c>
      <c r="J56" s="298" t="s">
        <v>2361</v>
      </c>
      <c r="K56" s="298" t="s">
        <v>2423</v>
      </c>
      <c r="L56" s="298"/>
      <c r="M56" s="298" t="s">
        <v>2758</v>
      </c>
      <c r="N56" s="298"/>
      <c r="O56" s="318" t="s">
        <v>2827</v>
      </c>
      <c r="P56" s="298"/>
      <c r="Q56" s="298"/>
      <c r="R56" s="298"/>
      <c r="S56" s="298"/>
      <c r="T56" s="320" t="s">
        <v>2233</v>
      </c>
    </row>
    <row r="57" spans="1:20" s="322" customFormat="1" ht="94.5">
      <c r="A57" s="298" t="s">
        <v>2237</v>
      </c>
      <c r="B57" s="298" t="s">
        <v>2447</v>
      </c>
      <c r="C57" s="298" t="s">
        <v>2571</v>
      </c>
      <c r="D57" s="298" t="s">
        <v>2447</v>
      </c>
      <c r="E57" s="298" t="s">
        <v>38</v>
      </c>
      <c r="F57" s="298" t="s">
        <v>45</v>
      </c>
      <c r="G57" s="298" t="s">
        <v>2248</v>
      </c>
      <c r="H57" s="298" t="s">
        <v>39</v>
      </c>
      <c r="I57" s="298" t="s">
        <v>2673</v>
      </c>
      <c r="J57" s="298" t="s">
        <v>2363</v>
      </c>
      <c r="K57" s="298" t="s">
        <v>2429</v>
      </c>
      <c r="L57" s="298"/>
      <c r="M57" s="298" t="s">
        <v>2758</v>
      </c>
      <c r="N57" s="298"/>
      <c r="O57" s="318" t="s">
        <v>2827</v>
      </c>
      <c r="P57" s="298"/>
      <c r="Q57" s="298"/>
      <c r="R57" s="298"/>
      <c r="S57" s="298"/>
      <c r="T57" s="320" t="s">
        <v>2233</v>
      </c>
    </row>
    <row r="58" spans="1:20" s="322" customFormat="1" ht="81">
      <c r="A58" s="298" t="s">
        <v>2237</v>
      </c>
      <c r="B58" s="298" t="s">
        <v>2447</v>
      </c>
      <c r="C58" s="298" t="s">
        <v>2571</v>
      </c>
      <c r="D58" s="298" t="s">
        <v>2447</v>
      </c>
      <c r="E58" s="298" t="s">
        <v>38</v>
      </c>
      <c r="F58" s="298" t="s">
        <v>45</v>
      </c>
      <c r="G58" s="298" t="s">
        <v>2248</v>
      </c>
      <c r="H58" s="298" t="s">
        <v>39</v>
      </c>
      <c r="I58" s="298" t="s">
        <v>2674</v>
      </c>
      <c r="J58" s="298" t="s">
        <v>2426</v>
      </c>
      <c r="K58" s="298" t="s">
        <v>2428</v>
      </c>
      <c r="L58" s="298"/>
      <c r="M58" s="298" t="s">
        <v>2758</v>
      </c>
      <c r="N58" s="298"/>
      <c r="O58" s="318" t="s">
        <v>2827</v>
      </c>
      <c r="P58" s="298"/>
      <c r="Q58" s="298"/>
      <c r="R58" s="298"/>
      <c r="S58" s="298"/>
      <c r="T58" s="320" t="s">
        <v>2233</v>
      </c>
    </row>
    <row r="59" spans="1:20" s="322" customFormat="1" ht="108">
      <c r="A59" s="298" t="s">
        <v>2237</v>
      </c>
      <c r="B59" s="298" t="s">
        <v>2447</v>
      </c>
      <c r="C59" s="298" t="s">
        <v>2571</v>
      </c>
      <c r="D59" s="298" t="s">
        <v>2447</v>
      </c>
      <c r="E59" s="298" t="s">
        <v>38</v>
      </c>
      <c r="F59" s="298" t="s">
        <v>45</v>
      </c>
      <c r="G59" s="298" t="s">
        <v>2248</v>
      </c>
      <c r="H59" s="298" t="s">
        <v>39</v>
      </c>
      <c r="I59" s="298" t="s">
        <v>2675</v>
      </c>
      <c r="J59" s="298" t="s">
        <v>2364</v>
      </c>
      <c r="K59" s="298" t="s">
        <v>2427</v>
      </c>
      <c r="L59" s="298"/>
      <c r="M59" s="298" t="s">
        <v>2758</v>
      </c>
      <c r="N59" s="298"/>
      <c r="O59" s="318" t="s">
        <v>2827</v>
      </c>
      <c r="P59" s="298"/>
      <c r="Q59" s="298"/>
      <c r="R59" s="298"/>
      <c r="S59" s="298"/>
      <c r="T59" s="320" t="s">
        <v>2233</v>
      </c>
    </row>
    <row r="60" spans="1:20" s="322" customFormat="1" ht="135">
      <c r="A60" s="298" t="s">
        <v>2237</v>
      </c>
      <c r="B60" s="298" t="s">
        <v>2447</v>
      </c>
      <c r="C60" s="298" t="s">
        <v>2571</v>
      </c>
      <c r="D60" s="298" t="s">
        <v>2447</v>
      </c>
      <c r="E60" s="298" t="s">
        <v>38</v>
      </c>
      <c r="F60" s="298" t="s">
        <v>45</v>
      </c>
      <c r="G60" s="298" t="s">
        <v>2248</v>
      </c>
      <c r="H60" s="298" t="s">
        <v>39</v>
      </c>
      <c r="I60" s="298" t="s">
        <v>2676</v>
      </c>
      <c r="J60" s="298" t="s">
        <v>2365</v>
      </c>
      <c r="K60" s="298" t="s">
        <v>2831</v>
      </c>
      <c r="L60" s="298"/>
      <c r="M60" s="298" t="s">
        <v>2758</v>
      </c>
      <c r="N60" s="298"/>
      <c r="O60" s="318" t="s">
        <v>2827</v>
      </c>
      <c r="P60" s="298"/>
      <c r="Q60" s="298"/>
      <c r="R60" s="298"/>
      <c r="S60" s="298"/>
      <c r="T60" s="320" t="s">
        <v>2233</v>
      </c>
    </row>
    <row r="61" spans="1:20" s="322" customFormat="1" ht="189">
      <c r="A61" s="298" t="s">
        <v>2237</v>
      </c>
      <c r="B61" s="298" t="s">
        <v>2488</v>
      </c>
      <c r="C61" s="298" t="s">
        <v>2572</v>
      </c>
      <c r="D61" s="298" t="s">
        <v>2385</v>
      </c>
      <c r="E61" s="298" t="s">
        <v>38</v>
      </c>
      <c r="F61" s="298" t="s">
        <v>45</v>
      </c>
      <c r="G61" s="298" t="s">
        <v>2248</v>
      </c>
      <c r="H61" s="298" t="s">
        <v>39</v>
      </c>
      <c r="I61" s="298" t="s">
        <v>2677</v>
      </c>
      <c r="J61" s="298" t="s">
        <v>2384</v>
      </c>
      <c r="K61" s="298" t="s">
        <v>2386</v>
      </c>
      <c r="L61" s="298"/>
      <c r="M61" s="298" t="s">
        <v>2758</v>
      </c>
      <c r="N61" s="298"/>
      <c r="O61" s="318" t="s">
        <v>2827</v>
      </c>
      <c r="P61" s="298"/>
      <c r="Q61" s="298"/>
      <c r="R61" s="298"/>
      <c r="S61" s="298"/>
      <c r="T61" s="320" t="s">
        <v>2233</v>
      </c>
    </row>
    <row r="62" spans="1:20" s="322" customFormat="1" ht="81">
      <c r="A62" s="298" t="s">
        <v>2237</v>
      </c>
      <c r="B62" s="298" t="s">
        <v>2488</v>
      </c>
      <c r="C62" s="298" t="s">
        <v>2572</v>
      </c>
      <c r="D62" s="298" t="s">
        <v>2385</v>
      </c>
      <c r="E62" s="298" t="s">
        <v>38</v>
      </c>
      <c r="F62" s="298" t="s">
        <v>45</v>
      </c>
      <c r="G62" s="298" t="s">
        <v>2248</v>
      </c>
      <c r="H62" s="298" t="s">
        <v>39</v>
      </c>
      <c r="I62" s="298" t="s">
        <v>2678</v>
      </c>
      <c r="J62" s="298" t="s">
        <v>2334</v>
      </c>
      <c r="K62" s="298" t="s">
        <v>2390</v>
      </c>
      <c r="L62" s="298"/>
      <c r="M62" s="298" t="s">
        <v>2758</v>
      </c>
      <c r="N62" s="298"/>
      <c r="O62" s="318" t="s">
        <v>2827</v>
      </c>
      <c r="P62" s="298"/>
      <c r="Q62" s="298"/>
      <c r="R62" s="298"/>
      <c r="S62" s="298"/>
      <c r="T62" s="320" t="s">
        <v>2233</v>
      </c>
    </row>
    <row r="63" spans="1:20" s="322" customFormat="1" ht="81">
      <c r="A63" s="298" t="s">
        <v>2237</v>
      </c>
      <c r="B63" s="298" t="s">
        <v>2488</v>
      </c>
      <c r="C63" s="298" t="s">
        <v>2573</v>
      </c>
      <c r="D63" s="298" t="s">
        <v>2498</v>
      </c>
      <c r="E63" s="298" t="s">
        <v>38</v>
      </c>
      <c r="F63" s="298" t="s">
        <v>45</v>
      </c>
      <c r="G63" s="298" t="s">
        <v>2248</v>
      </c>
      <c r="H63" s="298" t="s">
        <v>39</v>
      </c>
      <c r="I63" s="298" t="s">
        <v>2679</v>
      </c>
      <c r="J63" s="298" t="s">
        <v>2362</v>
      </c>
      <c r="K63" s="298" t="s">
        <v>2815</v>
      </c>
      <c r="L63" s="298"/>
      <c r="M63" s="298" t="s">
        <v>2758</v>
      </c>
      <c r="N63" s="298"/>
      <c r="O63" s="318" t="s">
        <v>2827</v>
      </c>
      <c r="P63" s="298"/>
      <c r="Q63" s="298"/>
      <c r="R63" s="298"/>
      <c r="S63" s="298"/>
      <c r="T63" s="320" t="s">
        <v>2233</v>
      </c>
    </row>
    <row r="64" spans="1:20" s="322" customFormat="1" ht="94.5">
      <c r="A64" s="298" t="s">
        <v>2237</v>
      </c>
      <c r="B64" s="298" t="s">
        <v>2452</v>
      </c>
      <c r="C64" s="298" t="s">
        <v>2574</v>
      </c>
      <c r="D64" s="298" t="s">
        <v>2491</v>
      </c>
      <c r="E64" s="298" t="s">
        <v>38</v>
      </c>
      <c r="F64" s="298" t="s">
        <v>45</v>
      </c>
      <c r="G64" s="298" t="s">
        <v>2248</v>
      </c>
      <c r="H64" s="298" t="s">
        <v>39</v>
      </c>
      <c r="I64" s="298" t="s">
        <v>2680</v>
      </c>
      <c r="J64" s="298" t="s">
        <v>2340</v>
      </c>
      <c r="K64" s="298" t="s">
        <v>2499</v>
      </c>
      <c r="L64" s="298"/>
      <c r="M64" s="298" t="s">
        <v>2758</v>
      </c>
      <c r="N64" s="298"/>
      <c r="O64" s="318" t="s">
        <v>2827</v>
      </c>
      <c r="P64" s="298"/>
      <c r="Q64" s="298"/>
      <c r="R64" s="298"/>
      <c r="S64" s="298"/>
      <c r="T64" s="320" t="s">
        <v>2233</v>
      </c>
    </row>
    <row r="65" spans="1:20" s="322" customFormat="1" ht="67.5">
      <c r="A65" s="305" t="s">
        <v>2237</v>
      </c>
      <c r="B65" s="305" t="s">
        <v>2452</v>
      </c>
      <c r="C65" s="305" t="s">
        <v>2575</v>
      </c>
      <c r="D65" s="305" t="s">
        <v>2492</v>
      </c>
      <c r="E65" s="305" t="s">
        <v>38</v>
      </c>
      <c r="F65" s="305" t="s">
        <v>45</v>
      </c>
      <c r="G65" s="305" t="s">
        <v>2248</v>
      </c>
      <c r="H65" s="305" t="s">
        <v>39</v>
      </c>
      <c r="I65" s="305" t="s">
        <v>2681</v>
      </c>
      <c r="J65" s="305" t="s">
        <v>2493</v>
      </c>
      <c r="K65" s="298" t="s">
        <v>2822</v>
      </c>
      <c r="L65" s="301"/>
      <c r="M65" s="305" t="s">
        <v>2758</v>
      </c>
      <c r="N65" s="305"/>
      <c r="O65" s="318" t="s">
        <v>2827</v>
      </c>
      <c r="P65" s="305"/>
      <c r="Q65" s="305"/>
      <c r="R65" s="305"/>
      <c r="S65" s="305"/>
      <c r="T65" s="321"/>
    </row>
    <row r="66" spans="1:20" s="322" customFormat="1" ht="67.5">
      <c r="A66" s="298" t="s">
        <v>2237</v>
      </c>
      <c r="B66" s="298" t="s">
        <v>2489</v>
      </c>
      <c r="C66" s="298" t="s">
        <v>2576</v>
      </c>
      <c r="D66" s="298" t="s">
        <v>2451</v>
      </c>
      <c r="E66" s="298" t="s">
        <v>38</v>
      </c>
      <c r="F66" s="298" t="s">
        <v>45</v>
      </c>
      <c r="G66" s="298" t="s">
        <v>2248</v>
      </c>
      <c r="H66" s="298" t="s">
        <v>39</v>
      </c>
      <c r="I66" s="298" t="s">
        <v>2682</v>
      </c>
      <c r="J66" s="298" t="s">
        <v>2338</v>
      </c>
      <c r="K66" s="298" t="s">
        <v>2816</v>
      </c>
      <c r="L66" s="298"/>
      <c r="M66" s="298" t="s">
        <v>2758</v>
      </c>
      <c r="N66" s="298"/>
      <c r="O66" s="318" t="s">
        <v>2827</v>
      </c>
      <c r="P66" s="298"/>
      <c r="Q66" s="298"/>
      <c r="R66" s="298"/>
      <c r="S66" s="298"/>
      <c r="T66" s="320" t="s">
        <v>2233</v>
      </c>
    </row>
    <row r="67" spans="1:20" s="322" customFormat="1" ht="216">
      <c r="A67" s="298" t="s">
        <v>2237</v>
      </c>
      <c r="B67" s="298" t="s">
        <v>2489</v>
      </c>
      <c r="C67" s="298" t="s">
        <v>2577</v>
      </c>
      <c r="D67" s="298" t="s">
        <v>2497</v>
      </c>
      <c r="E67" s="298" t="s">
        <v>38</v>
      </c>
      <c r="F67" s="298" t="s">
        <v>45</v>
      </c>
      <c r="G67" s="298" t="s">
        <v>2248</v>
      </c>
      <c r="H67" s="298" t="s">
        <v>41</v>
      </c>
      <c r="I67" s="298" t="s">
        <v>2683</v>
      </c>
      <c r="J67" s="298" t="s">
        <v>2347</v>
      </c>
      <c r="K67" s="298" t="s">
        <v>2398</v>
      </c>
      <c r="L67" s="298"/>
      <c r="M67" s="298" t="s">
        <v>2758</v>
      </c>
      <c r="N67" s="298"/>
      <c r="O67" s="318" t="s">
        <v>2827</v>
      </c>
      <c r="P67" s="298"/>
      <c r="Q67" s="298"/>
      <c r="R67" s="298"/>
      <c r="S67" s="298"/>
      <c r="T67" s="320" t="s">
        <v>2233</v>
      </c>
    </row>
    <row r="68" spans="1:20" s="322" customFormat="1" ht="67.5">
      <c r="A68" s="298" t="s">
        <v>2237</v>
      </c>
      <c r="B68" s="298" t="s">
        <v>2490</v>
      </c>
      <c r="C68" s="298" t="s">
        <v>2578</v>
      </c>
      <c r="D68" s="298" t="s">
        <v>2494</v>
      </c>
      <c r="E68" s="298" t="s">
        <v>38</v>
      </c>
      <c r="F68" s="298" t="s">
        <v>45</v>
      </c>
      <c r="G68" s="298" t="s">
        <v>2248</v>
      </c>
      <c r="H68" s="298" t="s">
        <v>41</v>
      </c>
      <c r="I68" s="298" t="s">
        <v>2684</v>
      </c>
      <c r="J68" s="298" t="s">
        <v>2561</v>
      </c>
      <c r="K68" s="298" t="s">
        <v>2496</v>
      </c>
      <c r="L68" s="298"/>
      <c r="M68" s="298" t="s">
        <v>2758</v>
      </c>
      <c r="N68" s="298"/>
      <c r="O68" s="318" t="s">
        <v>2827</v>
      </c>
      <c r="P68" s="298"/>
      <c r="Q68" s="298"/>
      <c r="R68" s="298"/>
      <c r="S68" s="298"/>
      <c r="T68" s="320" t="s">
        <v>2233</v>
      </c>
    </row>
    <row r="69" spans="1:20" s="322" customFormat="1" ht="54">
      <c r="A69" s="298" t="s">
        <v>2237</v>
      </c>
      <c r="B69" s="298" t="s">
        <v>2490</v>
      </c>
      <c r="C69" s="298" t="s">
        <v>2579</v>
      </c>
      <c r="D69" s="298" t="s">
        <v>2495</v>
      </c>
      <c r="E69" s="298" t="s">
        <v>38</v>
      </c>
      <c r="F69" s="298" t="s">
        <v>45</v>
      </c>
      <c r="G69" s="298" t="s">
        <v>2248</v>
      </c>
      <c r="H69" s="298" t="s">
        <v>41</v>
      </c>
      <c r="I69" s="298" t="s">
        <v>2685</v>
      </c>
      <c r="J69" s="298" t="s">
        <v>2339</v>
      </c>
      <c r="K69" s="298" t="s">
        <v>2392</v>
      </c>
      <c r="L69" s="298"/>
      <c r="M69" s="298" t="s">
        <v>2758</v>
      </c>
      <c r="N69" s="298"/>
      <c r="O69" s="318" t="s">
        <v>2827</v>
      </c>
      <c r="P69" s="298"/>
      <c r="Q69" s="298"/>
      <c r="R69" s="298"/>
      <c r="S69" s="298"/>
      <c r="T69" s="320" t="s">
        <v>2233</v>
      </c>
    </row>
    <row r="70" spans="1:20" s="322" customFormat="1" ht="27">
      <c r="A70" s="298" t="s">
        <v>2237</v>
      </c>
      <c r="B70" s="298" t="s">
        <v>2580</v>
      </c>
      <c r="C70" s="298" t="s">
        <v>2582</v>
      </c>
      <c r="D70" s="298" t="s">
        <v>2581</v>
      </c>
      <c r="E70" s="298" t="s">
        <v>38</v>
      </c>
      <c r="F70" s="298" t="s">
        <v>45</v>
      </c>
      <c r="G70" s="298" t="s">
        <v>2248</v>
      </c>
      <c r="H70" s="298" t="s">
        <v>41</v>
      </c>
      <c r="I70" s="298" t="s">
        <v>2686</v>
      </c>
      <c r="J70" s="298" t="s">
        <v>2335</v>
      </c>
      <c r="K70" s="298" t="s">
        <v>2387</v>
      </c>
      <c r="L70" s="298"/>
      <c r="M70" s="298" t="s">
        <v>2758</v>
      </c>
      <c r="N70" s="298"/>
      <c r="O70" s="318" t="s">
        <v>2827</v>
      </c>
      <c r="P70" s="298"/>
      <c r="Q70" s="298"/>
      <c r="R70" s="298"/>
      <c r="S70" s="298"/>
      <c r="T70" s="320" t="s">
        <v>2233</v>
      </c>
    </row>
    <row r="71" spans="1:20" s="322" customFormat="1" ht="54">
      <c r="A71" s="298" t="s">
        <v>2237</v>
      </c>
      <c r="B71" s="298" t="s">
        <v>2580</v>
      </c>
      <c r="C71" s="298" t="s">
        <v>2582</v>
      </c>
      <c r="D71" s="298" t="s">
        <v>2486</v>
      </c>
      <c r="E71" s="298" t="s">
        <v>38</v>
      </c>
      <c r="F71" s="298" t="s">
        <v>45</v>
      </c>
      <c r="G71" s="298" t="s">
        <v>2248</v>
      </c>
      <c r="H71" s="298" t="s">
        <v>41</v>
      </c>
      <c r="I71" s="298" t="s">
        <v>2687</v>
      </c>
      <c r="J71" s="298" t="s">
        <v>2336</v>
      </c>
      <c r="K71" s="298" t="s">
        <v>2388</v>
      </c>
      <c r="L71" s="298"/>
      <c r="M71" s="298" t="s">
        <v>2758</v>
      </c>
      <c r="N71" s="298"/>
      <c r="O71" s="318" t="s">
        <v>2827</v>
      </c>
      <c r="P71" s="298"/>
      <c r="Q71" s="298"/>
      <c r="R71" s="298"/>
      <c r="S71" s="298"/>
      <c r="T71" s="320" t="s">
        <v>2233</v>
      </c>
    </row>
    <row r="72" spans="1:20" s="322" customFormat="1" ht="27">
      <c r="A72" s="298" t="s">
        <v>2237</v>
      </c>
      <c r="B72" s="298" t="s">
        <v>2580</v>
      </c>
      <c r="C72" s="298" t="s">
        <v>2582</v>
      </c>
      <c r="D72" s="298" t="s">
        <v>2486</v>
      </c>
      <c r="E72" s="298" t="s">
        <v>38</v>
      </c>
      <c r="F72" s="298" t="s">
        <v>45</v>
      </c>
      <c r="G72" s="298" t="s">
        <v>2248</v>
      </c>
      <c r="H72" s="298" t="s">
        <v>41</v>
      </c>
      <c r="I72" s="298" t="s">
        <v>2688</v>
      </c>
      <c r="J72" s="298" t="s">
        <v>2337</v>
      </c>
      <c r="K72" s="298" t="s">
        <v>2391</v>
      </c>
      <c r="L72" s="298"/>
      <c r="M72" s="298" t="s">
        <v>2758</v>
      </c>
      <c r="N72" s="298"/>
      <c r="O72" s="318" t="s">
        <v>2827</v>
      </c>
      <c r="P72" s="298"/>
      <c r="Q72" s="298"/>
      <c r="R72" s="298"/>
      <c r="S72" s="298"/>
      <c r="T72" s="320" t="s">
        <v>2233</v>
      </c>
    </row>
    <row r="73" spans="1:20" s="322" customFormat="1" ht="27">
      <c r="A73" s="298" t="s">
        <v>2237</v>
      </c>
      <c r="B73" s="298" t="s">
        <v>2580</v>
      </c>
      <c r="C73" s="298" t="s">
        <v>2582</v>
      </c>
      <c r="D73" s="298" t="s">
        <v>2486</v>
      </c>
      <c r="E73" s="298" t="s">
        <v>38</v>
      </c>
      <c r="F73" s="298" t="s">
        <v>45</v>
      </c>
      <c r="G73" s="298" t="s">
        <v>2248</v>
      </c>
      <c r="H73" s="298" t="s">
        <v>41</v>
      </c>
      <c r="I73" s="298" t="s">
        <v>2689</v>
      </c>
      <c r="J73" s="298" t="s">
        <v>2341</v>
      </c>
      <c r="K73" s="298" t="s">
        <v>2393</v>
      </c>
      <c r="L73" s="298"/>
      <c r="M73" s="298" t="s">
        <v>2758</v>
      </c>
      <c r="N73" s="298"/>
      <c r="O73" s="318" t="s">
        <v>2827</v>
      </c>
      <c r="P73" s="298"/>
      <c r="Q73" s="298"/>
      <c r="R73" s="298"/>
      <c r="S73" s="298"/>
      <c r="T73" s="320" t="s">
        <v>2233</v>
      </c>
    </row>
    <row r="74" spans="1:20" s="322" customFormat="1" ht="27">
      <c r="A74" s="298" t="s">
        <v>2237</v>
      </c>
      <c r="B74" s="298" t="s">
        <v>2580</v>
      </c>
      <c r="C74" s="298" t="s">
        <v>2582</v>
      </c>
      <c r="D74" s="298" t="s">
        <v>2486</v>
      </c>
      <c r="E74" s="298" t="s">
        <v>38</v>
      </c>
      <c r="F74" s="298" t="s">
        <v>45</v>
      </c>
      <c r="G74" s="298" t="s">
        <v>2248</v>
      </c>
      <c r="H74" s="298" t="s">
        <v>41</v>
      </c>
      <c r="I74" s="298" t="s">
        <v>2690</v>
      </c>
      <c r="J74" s="298" t="s">
        <v>2342</v>
      </c>
      <c r="K74" s="298" t="s">
        <v>2394</v>
      </c>
      <c r="L74" s="298"/>
      <c r="M74" s="298" t="s">
        <v>2758</v>
      </c>
      <c r="N74" s="298"/>
      <c r="O74" s="318" t="s">
        <v>2827</v>
      </c>
      <c r="P74" s="298"/>
      <c r="Q74" s="298"/>
      <c r="R74" s="298"/>
      <c r="S74" s="298"/>
      <c r="T74" s="320" t="s">
        <v>2233</v>
      </c>
    </row>
    <row r="75" spans="1:20" s="322" customFormat="1" ht="54">
      <c r="A75" s="329" t="s">
        <v>2237</v>
      </c>
      <c r="B75" s="329" t="s">
        <v>2580</v>
      </c>
      <c r="C75" s="329" t="s">
        <v>2582</v>
      </c>
      <c r="D75" s="329" t="s">
        <v>2486</v>
      </c>
      <c r="E75" s="329" t="s">
        <v>38</v>
      </c>
      <c r="F75" s="329" t="s">
        <v>45</v>
      </c>
      <c r="G75" s="329" t="s">
        <v>2248</v>
      </c>
      <c r="H75" s="329" t="s">
        <v>41</v>
      </c>
      <c r="I75" s="329" t="s">
        <v>2691</v>
      </c>
      <c r="J75" s="329" t="s">
        <v>2343</v>
      </c>
      <c r="K75" s="329" t="s">
        <v>2876</v>
      </c>
      <c r="L75" s="329"/>
      <c r="M75" s="329" t="s">
        <v>2758</v>
      </c>
      <c r="N75" s="329"/>
      <c r="O75" s="318" t="s">
        <v>2827</v>
      </c>
      <c r="P75" s="329" t="s">
        <v>2883</v>
      </c>
      <c r="Q75" s="329"/>
      <c r="R75" s="329"/>
      <c r="S75" s="329" t="s">
        <v>2778</v>
      </c>
      <c r="T75" s="332" t="s">
        <v>2233</v>
      </c>
    </row>
    <row r="76" spans="1:20" s="322" customFormat="1" ht="27">
      <c r="A76" s="298" t="s">
        <v>2237</v>
      </c>
      <c r="B76" s="298" t="s">
        <v>2580</v>
      </c>
      <c r="C76" s="298" t="s">
        <v>2582</v>
      </c>
      <c r="D76" s="298" t="s">
        <v>2486</v>
      </c>
      <c r="E76" s="298" t="s">
        <v>38</v>
      </c>
      <c r="F76" s="298" t="s">
        <v>45</v>
      </c>
      <c r="G76" s="298" t="s">
        <v>2248</v>
      </c>
      <c r="H76" s="298" t="s">
        <v>41</v>
      </c>
      <c r="I76" s="298" t="s">
        <v>2776</v>
      </c>
      <c r="J76" s="298" t="s">
        <v>2344</v>
      </c>
      <c r="K76" s="298" t="s">
        <v>2395</v>
      </c>
      <c r="L76" s="298"/>
      <c r="M76" s="298" t="s">
        <v>2758</v>
      </c>
      <c r="N76" s="298"/>
      <c r="O76" s="318" t="s">
        <v>2827</v>
      </c>
      <c r="P76" s="298"/>
      <c r="Q76" s="298"/>
      <c r="R76" s="298"/>
      <c r="S76" s="298"/>
      <c r="T76" s="320" t="s">
        <v>2233</v>
      </c>
    </row>
    <row r="77" spans="1:20" s="322" customFormat="1" ht="27">
      <c r="A77" s="298" t="s">
        <v>2237</v>
      </c>
      <c r="B77" s="298" t="s">
        <v>2580</v>
      </c>
      <c r="C77" s="298" t="s">
        <v>2582</v>
      </c>
      <c r="D77" s="298" t="s">
        <v>2486</v>
      </c>
      <c r="E77" s="298" t="s">
        <v>38</v>
      </c>
      <c r="F77" s="298" t="s">
        <v>45</v>
      </c>
      <c r="G77" s="298" t="s">
        <v>2248</v>
      </c>
      <c r="H77" s="298" t="s">
        <v>41</v>
      </c>
      <c r="I77" s="298" t="s">
        <v>2692</v>
      </c>
      <c r="J77" s="298" t="s">
        <v>2345</v>
      </c>
      <c r="K77" s="298" t="s">
        <v>2396</v>
      </c>
      <c r="L77" s="298"/>
      <c r="M77" s="298" t="s">
        <v>2758</v>
      </c>
      <c r="N77" s="298"/>
      <c r="O77" s="318" t="s">
        <v>2827</v>
      </c>
      <c r="P77" s="298"/>
      <c r="Q77" s="298"/>
      <c r="R77" s="298"/>
      <c r="S77" s="298"/>
      <c r="T77" s="320" t="s">
        <v>2233</v>
      </c>
    </row>
    <row r="78" spans="1:20" s="322" customFormat="1" ht="40.5">
      <c r="A78" s="298" t="s">
        <v>2237</v>
      </c>
      <c r="B78" s="298" t="s">
        <v>2580</v>
      </c>
      <c r="C78" s="298" t="s">
        <v>2582</v>
      </c>
      <c r="D78" s="298" t="s">
        <v>2486</v>
      </c>
      <c r="E78" s="298" t="s">
        <v>38</v>
      </c>
      <c r="F78" s="298" t="s">
        <v>45</v>
      </c>
      <c r="G78" s="298" t="s">
        <v>2248</v>
      </c>
      <c r="H78" s="298" t="s">
        <v>41</v>
      </c>
      <c r="I78" s="298" t="s">
        <v>2693</v>
      </c>
      <c r="J78" s="298" t="s">
        <v>2346</v>
      </c>
      <c r="K78" s="298" t="s">
        <v>2397</v>
      </c>
      <c r="L78" s="298"/>
      <c r="M78" s="298" t="s">
        <v>2758</v>
      </c>
      <c r="N78" s="298"/>
      <c r="O78" s="318" t="s">
        <v>2827</v>
      </c>
      <c r="P78" s="298"/>
      <c r="Q78" s="298"/>
      <c r="R78" s="298"/>
      <c r="S78" s="298"/>
      <c r="T78" s="320" t="s">
        <v>2233</v>
      </c>
    </row>
    <row r="79" spans="1:20" s="323" customFormat="1" ht="27">
      <c r="A79" s="301" t="s">
        <v>2237</v>
      </c>
      <c r="B79" s="301" t="s">
        <v>2580</v>
      </c>
      <c r="C79" s="301" t="s">
        <v>2582</v>
      </c>
      <c r="D79" s="301" t="s">
        <v>2486</v>
      </c>
      <c r="E79" s="301" t="s">
        <v>38</v>
      </c>
      <c r="F79" s="301" t="s">
        <v>45</v>
      </c>
      <c r="G79" s="301" t="s">
        <v>2424</v>
      </c>
      <c r="H79" s="301" t="s">
        <v>41</v>
      </c>
      <c r="I79" s="301" t="s">
        <v>2694</v>
      </c>
      <c r="J79" s="301" t="s">
        <v>2348</v>
      </c>
      <c r="K79" s="301" t="s">
        <v>2449</v>
      </c>
      <c r="L79" s="301"/>
      <c r="M79" s="301" t="s">
        <v>2758</v>
      </c>
      <c r="N79" s="301"/>
      <c r="O79" s="321" t="s">
        <v>2829</v>
      </c>
      <c r="P79" s="301" t="s">
        <v>2767</v>
      </c>
      <c r="Q79" s="301"/>
      <c r="R79" s="301"/>
      <c r="S79" s="301" t="s">
        <v>2772</v>
      </c>
      <c r="T79" s="321" t="s">
        <v>2233</v>
      </c>
    </row>
    <row r="80" spans="1:20" s="322" customFormat="1" ht="27">
      <c r="A80" s="298" t="s">
        <v>2237</v>
      </c>
      <c r="B80" s="298" t="s">
        <v>2580</v>
      </c>
      <c r="C80" s="298" t="s">
        <v>2582</v>
      </c>
      <c r="D80" s="298" t="s">
        <v>2486</v>
      </c>
      <c r="E80" s="298" t="s">
        <v>38</v>
      </c>
      <c r="F80" s="298" t="s">
        <v>45</v>
      </c>
      <c r="G80" s="298" t="s">
        <v>2248</v>
      </c>
      <c r="H80" s="298" t="s">
        <v>41</v>
      </c>
      <c r="I80" s="298" t="s">
        <v>2695</v>
      </c>
      <c r="J80" s="298" t="s">
        <v>2349</v>
      </c>
      <c r="K80" s="298" t="s">
        <v>2399</v>
      </c>
      <c r="L80" s="298"/>
      <c r="M80" s="298" t="s">
        <v>2758</v>
      </c>
      <c r="N80" s="298"/>
      <c r="O80" s="318" t="s">
        <v>2827</v>
      </c>
      <c r="P80" s="298"/>
      <c r="Q80" s="298"/>
      <c r="R80" s="298"/>
      <c r="S80" s="298"/>
      <c r="T80" s="320" t="s">
        <v>2233</v>
      </c>
    </row>
    <row r="81" spans="1:20" s="322" customFormat="1" ht="162">
      <c r="A81" s="298" t="s">
        <v>2237</v>
      </c>
      <c r="B81" s="298" t="s">
        <v>2580</v>
      </c>
      <c r="C81" s="298" t="s">
        <v>2582</v>
      </c>
      <c r="D81" s="298" t="s">
        <v>2486</v>
      </c>
      <c r="E81" s="298" t="s">
        <v>38</v>
      </c>
      <c r="F81" s="298" t="s">
        <v>45</v>
      </c>
      <c r="G81" s="298" t="s">
        <v>2248</v>
      </c>
      <c r="H81" s="298" t="s">
        <v>41</v>
      </c>
      <c r="I81" s="298" t="s">
        <v>2696</v>
      </c>
      <c r="J81" s="298" t="s">
        <v>2430</v>
      </c>
      <c r="K81" s="298" t="s">
        <v>2553</v>
      </c>
      <c r="L81" s="298"/>
      <c r="M81" s="298" t="s">
        <v>2758</v>
      </c>
      <c r="N81" s="298"/>
      <c r="O81" s="318" t="s">
        <v>2827</v>
      </c>
      <c r="P81" s="298"/>
      <c r="Q81" s="298"/>
      <c r="R81" s="298"/>
      <c r="S81" s="298"/>
      <c r="T81" s="320" t="s">
        <v>2233</v>
      </c>
    </row>
    <row r="82" spans="1:20" s="323" customFormat="1" ht="54">
      <c r="A82" s="301" t="s">
        <v>2237</v>
      </c>
      <c r="B82" s="301" t="s">
        <v>2580</v>
      </c>
      <c r="C82" s="301" t="s">
        <v>2582</v>
      </c>
      <c r="D82" s="301" t="s">
        <v>2250</v>
      </c>
      <c r="E82" s="301" t="s">
        <v>38</v>
      </c>
      <c r="F82" s="301" t="s">
        <v>45</v>
      </c>
      <c r="G82" s="301" t="s">
        <v>2424</v>
      </c>
      <c r="H82" s="301" t="s">
        <v>39</v>
      </c>
      <c r="I82" s="301" t="s">
        <v>2697</v>
      </c>
      <c r="J82" s="301" t="s">
        <v>2366</v>
      </c>
      <c r="K82" s="301" t="s">
        <v>2431</v>
      </c>
      <c r="L82" s="301"/>
      <c r="M82" s="301" t="s">
        <v>2758</v>
      </c>
      <c r="N82" s="301"/>
      <c r="O82" s="321" t="s">
        <v>2829</v>
      </c>
      <c r="P82" s="301" t="s">
        <v>2769</v>
      </c>
      <c r="Q82" s="301"/>
      <c r="R82" s="301"/>
      <c r="S82" s="301" t="s">
        <v>2773</v>
      </c>
      <c r="T82" s="321" t="s">
        <v>2233</v>
      </c>
    </row>
    <row r="83" spans="1:20" s="322" customFormat="1" ht="94.5">
      <c r="A83" s="298" t="s">
        <v>2238</v>
      </c>
      <c r="B83" s="298" t="s">
        <v>2500</v>
      </c>
      <c r="C83" s="298" t="s">
        <v>2584</v>
      </c>
      <c r="D83" s="298" t="s">
        <v>2239</v>
      </c>
      <c r="E83" s="298" t="s">
        <v>38</v>
      </c>
      <c r="F83" s="298" t="s">
        <v>45</v>
      </c>
      <c r="G83" s="298" t="s">
        <v>2248</v>
      </c>
      <c r="H83" s="298" t="s">
        <v>39</v>
      </c>
      <c r="I83" s="298" t="s">
        <v>2698</v>
      </c>
      <c r="J83" s="298" t="s">
        <v>2252</v>
      </c>
      <c r="K83" s="298" t="s">
        <v>2300</v>
      </c>
      <c r="L83" s="298"/>
      <c r="M83" s="298" t="s">
        <v>2765</v>
      </c>
      <c r="N83" s="298"/>
      <c r="O83" s="318" t="s">
        <v>2827</v>
      </c>
      <c r="P83" s="298"/>
      <c r="Q83" s="298"/>
      <c r="R83" s="298"/>
      <c r="S83" s="298"/>
      <c r="T83" s="320"/>
    </row>
    <row r="84" spans="1:20" s="322" customFormat="1" ht="40.5">
      <c r="A84" s="298" t="s">
        <v>2238</v>
      </c>
      <c r="B84" s="298" t="s">
        <v>2500</v>
      </c>
      <c r="C84" s="298" t="s">
        <v>2583</v>
      </c>
      <c r="D84" s="298" t="s">
        <v>2240</v>
      </c>
      <c r="E84" s="298" t="s">
        <v>38</v>
      </c>
      <c r="F84" s="298" t="s">
        <v>45</v>
      </c>
      <c r="G84" s="298" t="s">
        <v>2248</v>
      </c>
      <c r="H84" s="298" t="s">
        <v>39</v>
      </c>
      <c r="I84" s="298" t="s">
        <v>2699</v>
      </c>
      <c r="J84" s="298" t="s">
        <v>2253</v>
      </c>
      <c r="K84" s="298" t="s">
        <v>2301</v>
      </c>
      <c r="L84" s="298"/>
      <c r="M84" s="298" t="s">
        <v>2765</v>
      </c>
      <c r="N84" s="298"/>
      <c r="O84" s="318" t="s">
        <v>2827</v>
      </c>
      <c r="P84" s="298"/>
      <c r="Q84" s="298"/>
      <c r="R84" s="298"/>
      <c r="S84" s="298"/>
      <c r="T84" s="320"/>
    </row>
    <row r="85" spans="1:20" s="322" customFormat="1" ht="40.5">
      <c r="A85" s="298" t="s">
        <v>2238</v>
      </c>
      <c r="B85" s="298" t="s">
        <v>2500</v>
      </c>
      <c r="C85" s="298" t="s">
        <v>2583</v>
      </c>
      <c r="D85" s="298" t="s">
        <v>2240</v>
      </c>
      <c r="E85" s="298" t="s">
        <v>38</v>
      </c>
      <c r="F85" s="298" t="s">
        <v>45</v>
      </c>
      <c r="G85" s="298" t="s">
        <v>2248</v>
      </c>
      <c r="H85" s="298" t="s">
        <v>39</v>
      </c>
      <c r="I85" s="298" t="s">
        <v>2700</v>
      </c>
      <c r="J85" s="298" t="s">
        <v>2251</v>
      </c>
      <c r="K85" s="305" t="s">
        <v>2780</v>
      </c>
      <c r="L85" s="298"/>
      <c r="M85" s="298" t="s">
        <v>2765</v>
      </c>
      <c r="N85" s="298"/>
      <c r="O85" s="318" t="s">
        <v>2827</v>
      </c>
      <c r="P85" s="298"/>
      <c r="Q85" s="298"/>
      <c r="R85" s="298"/>
      <c r="S85" s="298"/>
      <c r="T85" s="320" t="s">
        <v>2233</v>
      </c>
    </row>
    <row r="86" spans="1:20" s="322" customFormat="1" ht="67.5">
      <c r="A86" s="298" t="s">
        <v>2238</v>
      </c>
      <c r="B86" s="298" t="s">
        <v>2500</v>
      </c>
      <c r="C86" s="298" t="s">
        <v>2583</v>
      </c>
      <c r="D86" s="298" t="s">
        <v>2240</v>
      </c>
      <c r="E86" s="298" t="s">
        <v>38</v>
      </c>
      <c r="F86" s="298" t="s">
        <v>45</v>
      </c>
      <c r="G86" s="298" t="s">
        <v>2248</v>
      </c>
      <c r="H86" s="298" t="s">
        <v>39</v>
      </c>
      <c r="I86" s="298" t="s">
        <v>2701</v>
      </c>
      <c r="J86" s="298" t="s">
        <v>2254</v>
      </c>
      <c r="K86" s="298" t="s">
        <v>2554</v>
      </c>
      <c r="L86" s="298"/>
      <c r="M86" s="298" t="s">
        <v>2765</v>
      </c>
      <c r="N86" s="298"/>
      <c r="O86" s="318" t="s">
        <v>2827</v>
      </c>
      <c r="P86" s="298"/>
      <c r="Q86" s="298"/>
      <c r="R86" s="298"/>
      <c r="S86" s="298"/>
      <c r="T86" s="320" t="s">
        <v>2233</v>
      </c>
    </row>
    <row r="87" spans="1:20" s="322" customFormat="1" ht="27">
      <c r="A87" s="298" t="s">
        <v>2241</v>
      </c>
      <c r="B87" s="298" t="s">
        <v>2501</v>
      </c>
      <c r="C87" s="298" t="s">
        <v>2585</v>
      </c>
      <c r="D87" s="298" t="s">
        <v>2242</v>
      </c>
      <c r="E87" s="298" t="s">
        <v>38</v>
      </c>
      <c r="F87" s="298" t="s">
        <v>45</v>
      </c>
      <c r="G87" s="298" t="s">
        <v>2248</v>
      </c>
      <c r="H87" s="298" t="s">
        <v>39</v>
      </c>
      <c r="I87" s="298" t="s">
        <v>2702</v>
      </c>
      <c r="J87" s="298" t="s">
        <v>2302</v>
      </c>
      <c r="K87" s="298" t="s">
        <v>2504</v>
      </c>
      <c r="L87" s="298"/>
      <c r="M87" s="298" t="s">
        <v>2757</v>
      </c>
      <c r="N87" s="298"/>
      <c r="O87" s="318" t="s">
        <v>2827</v>
      </c>
      <c r="P87" s="298"/>
      <c r="Q87" s="298"/>
      <c r="R87" s="298"/>
      <c r="S87" s="298"/>
      <c r="T87" s="320" t="s">
        <v>2233</v>
      </c>
    </row>
    <row r="88" spans="1:20" s="322" customFormat="1" ht="81">
      <c r="A88" s="298" t="s">
        <v>2241</v>
      </c>
      <c r="B88" s="298" t="s">
        <v>2502</v>
      </c>
      <c r="C88" s="298" t="s">
        <v>2586</v>
      </c>
      <c r="D88" s="298" t="s">
        <v>2303</v>
      </c>
      <c r="E88" s="298" t="s">
        <v>38</v>
      </c>
      <c r="F88" s="298" t="s">
        <v>45</v>
      </c>
      <c r="G88" s="298" t="s">
        <v>2248</v>
      </c>
      <c r="H88" s="298" t="s">
        <v>39</v>
      </c>
      <c r="I88" s="298" t="s">
        <v>2703</v>
      </c>
      <c r="J88" s="298" t="s">
        <v>2305</v>
      </c>
      <c r="K88" s="298" t="s">
        <v>2304</v>
      </c>
      <c r="L88" s="298"/>
      <c r="M88" s="298" t="s">
        <v>2757</v>
      </c>
      <c r="N88" s="298"/>
      <c r="O88" s="318" t="s">
        <v>2827</v>
      </c>
      <c r="P88" s="298"/>
      <c r="Q88" s="298"/>
      <c r="R88" s="298"/>
      <c r="S88" s="298"/>
      <c r="T88" s="320" t="s">
        <v>2233</v>
      </c>
    </row>
    <row r="89" spans="1:20" s="322" customFormat="1" ht="40.5">
      <c r="A89" s="298" t="s">
        <v>2241</v>
      </c>
      <c r="B89" s="298" t="s">
        <v>2502</v>
      </c>
      <c r="C89" s="298" t="s">
        <v>2587</v>
      </c>
      <c r="D89" s="298" t="s">
        <v>2306</v>
      </c>
      <c r="E89" s="298" t="s">
        <v>38</v>
      </c>
      <c r="F89" s="298" t="s">
        <v>45</v>
      </c>
      <c r="G89" s="298" t="s">
        <v>2248</v>
      </c>
      <c r="H89" s="298" t="s">
        <v>39</v>
      </c>
      <c r="I89" s="298" t="s">
        <v>2704</v>
      </c>
      <c r="J89" s="298" t="s">
        <v>2307</v>
      </c>
      <c r="K89" s="298" t="s">
        <v>2309</v>
      </c>
      <c r="L89" s="298"/>
      <c r="M89" s="298" t="s">
        <v>2757</v>
      </c>
      <c r="N89" s="298"/>
      <c r="O89" s="318" t="s">
        <v>2827</v>
      </c>
      <c r="P89" s="298"/>
      <c r="Q89" s="298"/>
      <c r="R89" s="298"/>
      <c r="S89" s="298"/>
      <c r="T89" s="320"/>
    </row>
    <row r="90" spans="1:20" s="322" customFormat="1" ht="54">
      <c r="A90" s="298" t="s">
        <v>2241</v>
      </c>
      <c r="B90" s="298" t="s">
        <v>2503</v>
      </c>
      <c r="C90" s="298" t="s">
        <v>2587</v>
      </c>
      <c r="D90" s="298" t="s">
        <v>2317</v>
      </c>
      <c r="E90" s="298" t="s">
        <v>38</v>
      </c>
      <c r="F90" s="298" t="s">
        <v>45</v>
      </c>
      <c r="G90" s="298" t="s">
        <v>2248</v>
      </c>
      <c r="H90" s="298" t="s">
        <v>39</v>
      </c>
      <c r="I90" s="298" t="s">
        <v>2705</v>
      </c>
      <c r="J90" s="298" t="s">
        <v>2259</v>
      </c>
      <c r="K90" s="298" t="s">
        <v>2319</v>
      </c>
      <c r="L90" s="298"/>
      <c r="M90" s="298" t="s">
        <v>2757</v>
      </c>
      <c r="N90" s="298"/>
      <c r="O90" s="318" t="s">
        <v>2827</v>
      </c>
      <c r="P90" s="298"/>
      <c r="Q90" s="298"/>
      <c r="R90" s="298"/>
      <c r="S90" s="298"/>
      <c r="T90" s="320" t="s">
        <v>2233</v>
      </c>
    </row>
    <row r="91" spans="1:20" s="323" customFormat="1" ht="27">
      <c r="A91" s="301" t="s">
        <v>2241</v>
      </c>
      <c r="B91" s="301" t="s">
        <v>2503</v>
      </c>
      <c r="C91" s="301" t="s">
        <v>2587</v>
      </c>
      <c r="D91" s="301" t="s">
        <v>2306</v>
      </c>
      <c r="E91" s="301" t="s">
        <v>38</v>
      </c>
      <c r="F91" s="301" t="s">
        <v>45</v>
      </c>
      <c r="G91" s="301" t="s">
        <v>2424</v>
      </c>
      <c r="H91" s="301" t="s">
        <v>39</v>
      </c>
      <c r="I91" s="301" t="s">
        <v>2706</v>
      </c>
      <c r="J91" s="301" t="s">
        <v>2260</v>
      </c>
      <c r="K91" s="301" t="s">
        <v>2320</v>
      </c>
      <c r="L91" s="301"/>
      <c r="M91" s="301" t="s">
        <v>2758</v>
      </c>
      <c r="N91" s="301"/>
      <c r="O91" s="321" t="s">
        <v>2829</v>
      </c>
      <c r="P91" s="301" t="s">
        <v>2770</v>
      </c>
      <c r="Q91" s="301"/>
      <c r="R91" s="301"/>
      <c r="S91" s="301" t="s">
        <v>2771</v>
      </c>
      <c r="T91" s="321" t="s">
        <v>2233</v>
      </c>
    </row>
    <row r="92" spans="1:20" s="322" customFormat="1" ht="81">
      <c r="A92" s="298" t="s">
        <v>2241</v>
      </c>
      <c r="B92" s="298" t="s">
        <v>2503</v>
      </c>
      <c r="C92" s="298" t="s">
        <v>2588</v>
      </c>
      <c r="D92" s="298" t="s">
        <v>2243</v>
      </c>
      <c r="E92" s="298" t="s">
        <v>38</v>
      </c>
      <c r="F92" s="298" t="s">
        <v>45</v>
      </c>
      <c r="G92" s="298" t="s">
        <v>2248</v>
      </c>
      <c r="H92" s="298" t="s">
        <v>39</v>
      </c>
      <c r="I92" s="298" t="s">
        <v>2707</v>
      </c>
      <c r="J92" s="298" t="s">
        <v>2255</v>
      </c>
      <c r="K92" s="298" t="s">
        <v>2315</v>
      </c>
      <c r="L92" s="298"/>
      <c r="M92" s="298" t="s">
        <v>2758</v>
      </c>
      <c r="N92" s="298"/>
      <c r="O92" s="318" t="s">
        <v>2827</v>
      </c>
      <c r="P92" s="298"/>
      <c r="Q92" s="298"/>
      <c r="R92" s="298"/>
      <c r="S92" s="298"/>
      <c r="T92" s="320"/>
    </row>
    <row r="93" spans="1:20" s="322" customFormat="1" ht="27">
      <c r="A93" s="305" t="s">
        <v>2241</v>
      </c>
      <c r="B93" s="305" t="s">
        <v>2503</v>
      </c>
      <c r="C93" s="305" t="s">
        <v>2589</v>
      </c>
      <c r="D93" s="305" t="s">
        <v>2506</v>
      </c>
      <c r="E93" s="305" t="s">
        <v>38</v>
      </c>
      <c r="F93" s="305" t="s">
        <v>45</v>
      </c>
      <c r="G93" s="305" t="s">
        <v>2248</v>
      </c>
      <c r="H93" s="305" t="s">
        <v>39</v>
      </c>
      <c r="I93" s="305" t="s">
        <v>2708</v>
      </c>
      <c r="J93" s="305" t="s">
        <v>2507</v>
      </c>
      <c r="K93" s="298" t="s">
        <v>2823</v>
      </c>
      <c r="L93" s="301"/>
      <c r="M93" s="305" t="s">
        <v>2758</v>
      </c>
      <c r="N93" s="305"/>
      <c r="O93" s="318" t="s">
        <v>2827</v>
      </c>
      <c r="P93" s="305"/>
      <c r="Q93" s="305"/>
      <c r="R93" s="305"/>
      <c r="S93" s="305"/>
      <c r="T93" s="321"/>
    </row>
    <row r="94" spans="1:20" s="323" customFormat="1" ht="27">
      <c r="A94" s="301" t="s">
        <v>2241</v>
      </c>
      <c r="B94" s="301"/>
      <c r="C94" s="301" t="s">
        <v>2589</v>
      </c>
      <c r="D94" s="301" t="s">
        <v>2244</v>
      </c>
      <c r="E94" s="301" t="s">
        <v>38</v>
      </c>
      <c r="F94" s="301" t="s">
        <v>45</v>
      </c>
      <c r="G94" s="301" t="s">
        <v>2424</v>
      </c>
      <c r="H94" s="301" t="s">
        <v>41</v>
      </c>
      <c r="I94" s="301" t="s">
        <v>2709</v>
      </c>
      <c r="J94" s="301" t="s">
        <v>2310</v>
      </c>
      <c r="K94" s="301" t="s">
        <v>2563</v>
      </c>
      <c r="L94" s="301"/>
      <c r="M94" s="301" t="s">
        <v>2758</v>
      </c>
      <c r="N94" s="301"/>
      <c r="O94" s="321" t="s">
        <v>2829</v>
      </c>
      <c r="P94" s="301" t="s">
        <v>2774</v>
      </c>
      <c r="Q94" s="301"/>
      <c r="R94" s="301"/>
      <c r="S94" s="301" t="s">
        <v>2771</v>
      </c>
      <c r="T94" s="321"/>
    </row>
    <row r="95" spans="1:20" s="323" customFormat="1" ht="40.5">
      <c r="A95" s="301" t="s">
        <v>2241</v>
      </c>
      <c r="B95" s="301" t="s">
        <v>2505</v>
      </c>
      <c r="C95" s="301" t="s">
        <v>2590</v>
      </c>
      <c r="D95" s="301" t="s">
        <v>2312</v>
      </c>
      <c r="E95" s="301" t="s">
        <v>38</v>
      </c>
      <c r="F95" s="301" t="s">
        <v>366</v>
      </c>
      <c r="G95" s="301" t="s">
        <v>2424</v>
      </c>
      <c r="H95" s="301" t="s">
        <v>39</v>
      </c>
      <c r="I95" s="301" t="s">
        <v>2710</v>
      </c>
      <c r="J95" s="301" t="s">
        <v>2256</v>
      </c>
      <c r="K95" s="301" t="s">
        <v>2313</v>
      </c>
      <c r="L95" s="301"/>
      <c r="M95" s="301" t="s">
        <v>2758</v>
      </c>
      <c r="N95" s="301"/>
      <c r="O95" s="321" t="s">
        <v>2829</v>
      </c>
      <c r="P95" s="301" t="s">
        <v>2770</v>
      </c>
      <c r="Q95" s="301"/>
      <c r="R95" s="301"/>
      <c r="S95" s="301" t="s">
        <v>2771</v>
      </c>
      <c r="T95" s="321" t="s">
        <v>2233</v>
      </c>
    </row>
    <row r="96" spans="1:20" s="322" customFormat="1" ht="54">
      <c r="A96" s="298" t="s">
        <v>2241</v>
      </c>
      <c r="B96" s="298" t="s">
        <v>2505</v>
      </c>
      <c r="C96" s="298" t="s">
        <v>2591</v>
      </c>
      <c r="D96" s="298" t="s">
        <v>2510</v>
      </c>
      <c r="E96" s="298" t="s">
        <v>38</v>
      </c>
      <c r="F96" s="298" t="s">
        <v>45</v>
      </c>
      <c r="G96" s="298" t="s">
        <v>2248</v>
      </c>
      <c r="H96" s="298" t="s">
        <v>39</v>
      </c>
      <c r="I96" s="298" t="s">
        <v>2711</v>
      </c>
      <c r="J96" s="298" t="s">
        <v>2258</v>
      </c>
      <c r="K96" s="298" t="s">
        <v>2562</v>
      </c>
      <c r="L96" s="298"/>
      <c r="M96" s="298" t="s">
        <v>2758</v>
      </c>
      <c r="N96" s="298"/>
      <c r="O96" s="318" t="s">
        <v>2827</v>
      </c>
      <c r="P96" s="298"/>
      <c r="Q96" s="298"/>
      <c r="R96" s="298"/>
      <c r="S96" s="298"/>
      <c r="T96" s="320" t="s">
        <v>2233</v>
      </c>
    </row>
    <row r="97" spans="1:20" s="322" customFormat="1" ht="54">
      <c r="A97" s="298" t="s">
        <v>2241</v>
      </c>
      <c r="B97" s="298" t="s">
        <v>2505</v>
      </c>
      <c r="C97" s="298" t="s">
        <v>2591</v>
      </c>
      <c r="D97" s="298" t="s">
        <v>2510</v>
      </c>
      <c r="E97" s="298" t="s">
        <v>38</v>
      </c>
      <c r="F97" s="298" t="s">
        <v>45</v>
      </c>
      <c r="G97" s="298" t="s">
        <v>2248</v>
      </c>
      <c r="H97" s="298" t="s">
        <v>39</v>
      </c>
      <c r="I97" s="298" t="s">
        <v>2712</v>
      </c>
      <c r="J97" s="298" t="s">
        <v>2308</v>
      </c>
      <c r="K97" s="298" t="s">
        <v>2817</v>
      </c>
      <c r="L97" s="298"/>
      <c r="M97" s="298" t="s">
        <v>2758</v>
      </c>
      <c r="N97" s="298"/>
      <c r="O97" s="318" t="s">
        <v>2827</v>
      </c>
      <c r="P97" s="298"/>
      <c r="Q97" s="298"/>
      <c r="R97" s="298"/>
      <c r="S97" s="298"/>
      <c r="T97" s="320"/>
    </row>
    <row r="98" spans="1:20" s="322" customFormat="1" ht="67.5">
      <c r="A98" s="325" t="s">
        <v>2241</v>
      </c>
      <c r="B98" s="325" t="s">
        <v>2505</v>
      </c>
      <c r="C98" s="325" t="s">
        <v>2591</v>
      </c>
      <c r="D98" s="325" t="s">
        <v>2510</v>
      </c>
      <c r="E98" s="325" t="s">
        <v>38</v>
      </c>
      <c r="F98" s="325" t="s">
        <v>45</v>
      </c>
      <c r="G98" s="325" t="s">
        <v>2424</v>
      </c>
      <c r="H98" s="325" t="s">
        <v>39</v>
      </c>
      <c r="I98" s="325" t="s">
        <v>2713</v>
      </c>
      <c r="J98" s="325" t="s">
        <v>2318</v>
      </c>
      <c r="K98" s="325" t="s">
        <v>2844</v>
      </c>
      <c r="L98" s="325"/>
      <c r="M98" s="325" t="s">
        <v>2758</v>
      </c>
      <c r="N98" s="325"/>
      <c r="O98" s="326" t="s">
        <v>2829</v>
      </c>
      <c r="P98" s="325" t="s">
        <v>2877</v>
      </c>
      <c r="Q98" s="325"/>
      <c r="R98" s="325" t="s">
        <v>2845</v>
      </c>
      <c r="S98" s="325"/>
      <c r="T98" s="328" t="s">
        <v>2846</v>
      </c>
    </row>
    <row r="99" spans="1:20" s="322" customFormat="1" ht="27">
      <c r="A99" s="298" t="s">
        <v>2241</v>
      </c>
      <c r="B99" s="298" t="s">
        <v>2505</v>
      </c>
      <c r="C99" s="298" t="s">
        <v>2591</v>
      </c>
      <c r="D99" s="299" t="s">
        <v>2509</v>
      </c>
      <c r="E99" s="298" t="s">
        <v>38</v>
      </c>
      <c r="F99" s="298" t="s">
        <v>45</v>
      </c>
      <c r="G99" s="298" t="s">
        <v>2248</v>
      </c>
      <c r="H99" s="298" t="s">
        <v>39</v>
      </c>
      <c r="I99" s="298" t="s">
        <v>2714</v>
      </c>
      <c r="J99" s="298" t="s">
        <v>2314</v>
      </c>
      <c r="K99" s="298" t="s">
        <v>2818</v>
      </c>
      <c r="L99" s="298"/>
      <c r="M99" s="298" t="s">
        <v>2758</v>
      </c>
      <c r="N99" s="298"/>
      <c r="O99" s="318" t="s">
        <v>2827</v>
      </c>
      <c r="P99" s="298"/>
      <c r="Q99" s="298"/>
      <c r="R99" s="298"/>
      <c r="S99" s="298"/>
      <c r="T99" s="320"/>
    </row>
    <row r="100" spans="1:20" s="322" customFormat="1" ht="67.5">
      <c r="A100" s="325" t="s">
        <v>2241</v>
      </c>
      <c r="B100" s="325" t="s">
        <v>2505</v>
      </c>
      <c r="C100" s="325" t="s">
        <v>2592</v>
      </c>
      <c r="D100" s="325" t="s">
        <v>2508</v>
      </c>
      <c r="E100" s="325" t="s">
        <v>38</v>
      </c>
      <c r="F100" s="325" t="s">
        <v>45</v>
      </c>
      <c r="G100" s="325" t="s">
        <v>2424</v>
      </c>
      <c r="H100" s="325" t="s">
        <v>39</v>
      </c>
      <c r="I100" s="325" t="s">
        <v>2715</v>
      </c>
      <c r="J100" s="325" t="s">
        <v>2257</v>
      </c>
      <c r="K100" s="325" t="s">
        <v>2311</v>
      </c>
      <c r="L100" s="325"/>
      <c r="M100" s="325" t="s">
        <v>2758</v>
      </c>
      <c r="N100" s="325"/>
      <c r="O100" s="318" t="s">
        <v>2827</v>
      </c>
      <c r="P100" s="325"/>
      <c r="Q100" s="325"/>
      <c r="R100" s="325" t="s">
        <v>2845</v>
      </c>
      <c r="S100" s="325"/>
      <c r="T100" s="328" t="s">
        <v>2233</v>
      </c>
    </row>
    <row r="101" spans="1:20" s="322" customFormat="1" ht="40.5">
      <c r="A101" s="298" t="s">
        <v>2241</v>
      </c>
      <c r="B101" s="298" t="s">
        <v>2505</v>
      </c>
      <c r="C101" s="298" t="s">
        <v>2592</v>
      </c>
      <c r="D101" s="298" t="s">
        <v>2508</v>
      </c>
      <c r="E101" s="298" t="s">
        <v>38</v>
      </c>
      <c r="F101" s="298" t="s">
        <v>45</v>
      </c>
      <c r="G101" s="298" t="s">
        <v>2248</v>
      </c>
      <c r="H101" s="298" t="s">
        <v>39</v>
      </c>
      <c r="I101" s="298" t="s">
        <v>2716</v>
      </c>
      <c r="J101" s="298" t="s">
        <v>2316</v>
      </c>
      <c r="K101" s="298" t="s">
        <v>2870</v>
      </c>
      <c r="L101" s="298"/>
      <c r="M101" s="298" t="s">
        <v>2758</v>
      </c>
      <c r="N101" s="298"/>
      <c r="O101" s="318" t="s">
        <v>2827</v>
      </c>
      <c r="P101" s="298"/>
      <c r="Q101" s="298"/>
      <c r="R101" s="298"/>
      <c r="S101" s="298"/>
      <c r="T101" s="320"/>
    </row>
    <row r="102" spans="1:20" s="322" customFormat="1" ht="94.5">
      <c r="A102" s="298" t="s">
        <v>2526</v>
      </c>
      <c r="B102" s="299" t="s">
        <v>2511</v>
      </c>
      <c r="C102" s="298" t="s">
        <v>2593</v>
      </c>
      <c r="D102" s="298" t="s">
        <v>2245</v>
      </c>
      <c r="E102" s="298" t="s">
        <v>38</v>
      </c>
      <c r="F102" s="298" t="s">
        <v>45</v>
      </c>
      <c r="G102" s="298" t="s">
        <v>2248</v>
      </c>
      <c r="H102" s="298" t="s">
        <v>39</v>
      </c>
      <c r="I102" s="298" t="s">
        <v>2717</v>
      </c>
      <c r="J102" s="298" t="s">
        <v>2261</v>
      </c>
      <c r="K102" s="298" t="s">
        <v>2289</v>
      </c>
      <c r="L102" s="298"/>
      <c r="M102" s="298" t="s">
        <v>2764</v>
      </c>
      <c r="N102" s="298"/>
      <c r="O102" s="318" t="s">
        <v>2827</v>
      </c>
      <c r="P102" s="298"/>
      <c r="Q102" s="298"/>
      <c r="R102" s="298"/>
      <c r="S102" s="298"/>
      <c r="T102" s="320" t="s">
        <v>2233</v>
      </c>
    </row>
    <row r="103" spans="1:20" s="322" customFormat="1" ht="40.5">
      <c r="A103" s="298" t="s">
        <v>2555</v>
      </c>
      <c r="B103" s="298" t="s">
        <v>2511</v>
      </c>
      <c r="C103" s="298" t="s">
        <v>2593</v>
      </c>
      <c r="D103" s="298" t="s">
        <v>2245</v>
      </c>
      <c r="E103" s="298" t="s">
        <v>38</v>
      </c>
      <c r="F103" s="298" t="s">
        <v>45</v>
      </c>
      <c r="G103" s="298" t="s">
        <v>2248</v>
      </c>
      <c r="H103" s="298" t="s">
        <v>39</v>
      </c>
      <c r="I103" s="298" t="s">
        <v>2718</v>
      </c>
      <c r="J103" s="298" t="s">
        <v>2262</v>
      </c>
      <c r="K103" s="298" t="s">
        <v>2290</v>
      </c>
      <c r="L103" s="298"/>
      <c r="M103" s="298" t="s">
        <v>2764</v>
      </c>
      <c r="N103" s="298"/>
      <c r="O103" s="318" t="s">
        <v>2827</v>
      </c>
      <c r="P103" s="298"/>
      <c r="Q103" s="298"/>
      <c r="R103" s="298"/>
      <c r="S103" s="298"/>
      <c r="T103" s="320" t="s">
        <v>2233</v>
      </c>
    </row>
    <row r="104" spans="1:20" s="322" customFormat="1" ht="40.5">
      <c r="A104" s="298" t="s">
        <v>2555</v>
      </c>
      <c r="B104" s="298" t="s">
        <v>2511</v>
      </c>
      <c r="C104" s="298" t="s">
        <v>2593</v>
      </c>
      <c r="D104" s="298" t="s">
        <v>2245</v>
      </c>
      <c r="E104" s="298" t="s">
        <v>38</v>
      </c>
      <c r="F104" s="298" t="s">
        <v>45</v>
      </c>
      <c r="G104" s="298" t="s">
        <v>2248</v>
      </c>
      <c r="H104" s="298" t="s">
        <v>39</v>
      </c>
      <c r="I104" s="298" t="s">
        <v>2719</v>
      </c>
      <c r="J104" s="298" t="s">
        <v>2263</v>
      </c>
      <c r="K104" s="298" t="s">
        <v>2291</v>
      </c>
      <c r="L104" s="298"/>
      <c r="M104" s="298" t="s">
        <v>2764</v>
      </c>
      <c r="N104" s="298"/>
      <c r="O104" s="318" t="s">
        <v>2827</v>
      </c>
      <c r="P104" s="298"/>
      <c r="Q104" s="298"/>
      <c r="R104" s="298"/>
      <c r="S104" s="298"/>
      <c r="T104" s="320" t="s">
        <v>2233</v>
      </c>
    </row>
    <row r="105" spans="1:20" s="322" customFormat="1" ht="148.5">
      <c r="A105" s="298" t="s">
        <v>2555</v>
      </c>
      <c r="B105" s="298" t="s">
        <v>2511</v>
      </c>
      <c r="C105" s="298" t="s">
        <v>2593</v>
      </c>
      <c r="D105" s="298" t="s">
        <v>2245</v>
      </c>
      <c r="E105" s="298" t="s">
        <v>38</v>
      </c>
      <c r="F105" s="298" t="s">
        <v>45</v>
      </c>
      <c r="G105" s="298" t="s">
        <v>2248</v>
      </c>
      <c r="H105" s="298" t="s">
        <v>39</v>
      </c>
      <c r="I105" s="298" t="s">
        <v>2720</v>
      </c>
      <c r="J105" s="298" t="s">
        <v>2292</v>
      </c>
      <c r="K105" s="298" t="s">
        <v>2830</v>
      </c>
      <c r="L105" s="298"/>
      <c r="M105" s="298" t="s">
        <v>2764</v>
      </c>
      <c r="N105" s="298"/>
      <c r="O105" s="318" t="s">
        <v>2827</v>
      </c>
      <c r="P105" s="298"/>
      <c r="Q105" s="298"/>
      <c r="R105" s="298"/>
      <c r="S105" s="298"/>
      <c r="T105" s="320" t="s">
        <v>2233</v>
      </c>
    </row>
    <row r="106" spans="1:20" s="322" customFormat="1" ht="54">
      <c r="A106" s="298" t="s">
        <v>2526</v>
      </c>
      <c r="B106" s="298" t="s">
        <v>2511</v>
      </c>
      <c r="C106" s="298" t="s">
        <v>2593</v>
      </c>
      <c r="D106" s="298" t="s">
        <v>2245</v>
      </c>
      <c r="E106" s="298" t="s">
        <v>38</v>
      </c>
      <c r="F106" s="298" t="s">
        <v>45</v>
      </c>
      <c r="G106" s="298" t="s">
        <v>2248</v>
      </c>
      <c r="H106" s="298" t="s">
        <v>39</v>
      </c>
      <c r="I106" s="298" t="s">
        <v>2721</v>
      </c>
      <c r="J106" s="298" t="s">
        <v>2367</v>
      </c>
      <c r="K106" s="298" t="s">
        <v>2293</v>
      </c>
      <c r="L106" s="298"/>
      <c r="M106" s="298" t="s">
        <v>2764</v>
      </c>
      <c r="N106" s="298"/>
      <c r="O106" s="318" t="s">
        <v>2827</v>
      </c>
      <c r="P106" s="298"/>
      <c r="Q106" s="298"/>
      <c r="R106" s="298"/>
      <c r="S106" s="298"/>
      <c r="T106" s="320" t="s">
        <v>2233</v>
      </c>
    </row>
    <row r="107" spans="1:20" s="322" customFormat="1" ht="40.5">
      <c r="A107" s="298" t="s">
        <v>2555</v>
      </c>
      <c r="B107" s="298" t="s">
        <v>2511</v>
      </c>
      <c r="C107" s="298" t="s">
        <v>2593</v>
      </c>
      <c r="D107" s="298" t="s">
        <v>2245</v>
      </c>
      <c r="E107" s="298" t="s">
        <v>38</v>
      </c>
      <c r="F107" s="298" t="s">
        <v>45</v>
      </c>
      <c r="G107" s="298" t="s">
        <v>2248</v>
      </c>
      <c r="H107" s="298" t="s">
        <v>39</v>
      </c>
      <c r="I107" s="298" t="s">
        <v>2722</v>
      </c>
      <c r="J107" s="298" t="s">
        <v>2294</v>
      </c>
      <c r="K107" s="298" t="s">
        <v>2293</v>
      </c>
      <c r="L107" s="298"/>
      <c r="M107" s="298" t="s">
        <v>2764</v>
      </c>
      <c r="N107" s="298"/>
      <c r="O107" s="318" t="s">
        <v>2827</v>
      </c>
      <c r="P107" s="298"/>
      <c r="Q107" s="298"/>
      <c r="R107" s="298"/>
      <c r="S107" s="298" t="s">
        <v>2295</v>
      </c>
      <c r="T107" s="320"/>
    </row>
    <row r="108" spans="1:20" s="322" customFormat="1" ht="54">
      <c r="A108" s="298" t="s">
        <v>2555</v>
      </c>
      <c r="B108" s="298" t="s">
        <v>2511</v>
      </c>
      <c r="C108" s="298" t="s">
        <v>2593</v>
      </c>
      <c r="D108" s="298" t="s">
        <v>2245</v>
      </c>
      <c r="E108" s="298" t="s">
        <v>38</v>
      </c>
      <c r="F108" s="298" t="s">
        <v>45</v>
      </c>
      <c r="G108" s="298" t="s">
        <v>2248</v>
      </c>
      <c r="H108" s="298" t="s">
        <v>39</v>
      </c>
      <c r="I108" s="298" t="s">
        <v>2723</v>
      </c>
      <c r="J108" s="298" t="s">
        <v>2262</v>
      </c>
      <c r="K108" s="298" t="s">
        <v>2556</v>
      </c>
      <c r="L108" s="298"/>
      <c r="M108" s="298" t="s">
        <v>2764</v>
      </c>
      <c r="N108" s="298"/>
      <c r="O108" s="318" t="s">
        <v>2827</v>
      </c>
      <c r="P108" s="298"/>
      <c r="Q108" s="298"/>
      <c r="R108" s="298"/>
      <c r="S108" s="298"/>
      <c r="T108" s="320" t="s">
        <v>2233</v>
      </c>
    </row>
    <row r="109" spans="1:20" s="322" customFormat="1" ht="121.5">
      <c r="A109" s="301" t="s">
        <v>2555</v>
      </c>
      <c r="B109" s="301" t="s">
        <v>2511</v>
      </c>
      <c r="C109" s="305" t="s">
        <v>2593</v>
      </c>
      <c r="D109" s="305" t="s">
        <v>2245</v>
      </c>
      <c r="E109" s="305" t="s">
        <v>38</v>
      </c>
      <c r="F109" s="305" t="s">
        <v>45</v>
      </c>
      <c r="G109" s="305" t="s">
        <v>2248</v>
      </c>
      <c r="H109" s="305" t="s">
        <v>39</v>
      </c>
      <c r="I109" s="305" t="s">
        <v>2777</v>
      </c>
      <c r="J109" s="305" t="s">
        <v>2264</v>
      </c>
      <c r="K109" s="301" t="s">
        <v>2875</v>
      </c>
      <c r="L109" s="301"/>
      <c r="M109" s="305" t="s">
        <v>2764</v>
      </c>
      <c r="N109" s="301"/>
      <c r="O109" s="318" t="s">
        <v>2827</v>
      </c>
      <c r="P109" s="301"/>
      <c r="Q109" s="301"/>
      <c r="R109" s="301" t="s">
        <v>2874</v>
      </c>
      <c r="S109" s="301"/>
      <c r="T109" s="321" t="s">
        <v>2873</v>
      </c>
    </row>
    <row r="110" spans="1:20" s="322" customFormat="1" ht="40.5">
      <c r="A110" s="298" t="s">
        <v>2555</v>
      </c>
      <c r="B110" s="298" t="s">
        <v>2511</v>
      </c>
      <c r="C110" s="298" t="s">
        <v>2593</v>
      </c>
      <c r="D110" s="298" t="s">
        <v>2245</v>
      </c>
      <c r="E110" s="298" t="s">
        <v>38</v>
      </c>
      <c r="F110" s="298" t="s">
        <v>45</v>
      </c>
      <c r="G110" s="298" t="s">
        <v>2248</v>
      </c>
      <c r="H110" s="298" t="s">
        <v>39</v>
      </c>
      <c r="I110" s="298" t="s">
        <v>2724</v>
      </c>
      <c r="J110" s="298" t="s">
        <v>2297</v>
      </c>
      <c r="K110" s="298" t="s">
        <v>2296</v>
      </c>
      <c r="L110" s="298"/>
      <c r="M110" s="298" t="s">
        <v>2764</v>
      </c>
      <c r="N110" s="298"/>
      <c r="O110" s="318" t="s">
        <v>2827</v>
      </c>
      <c r="P110" s="298"/>
      <c r="Q110" s="298"/>
      <c r="R110" s="298"/>
      <c r="S110" s="298"/>
      <c r="T110" s="320" t="s">
        <v>2233</v>
      </c>
    </row>
    <row r="111" spans="1:20" s="322" customFormat="1" ht="108">
      <c r="A111" s="298" t="s">
        <v>2555</v>
      </c>
      <c r="B111" s="298" t="s">
        <v>2511</v>
      </c>
      <c r="C111" s="298" t="s">
        <v>2593</v>
      </c>
      <c r="D111" s="298" t="s">
        <v>2245</v>
      </c>
      <c r="E111" s="298" t="s">
        <v>38</v>
      </c>
      <c r="F111" s="298" t="s">
        <v>45</v>
      </c>
      <c r="G111" s="298" t="s">
        <v>2248</v>
      </c>
      <c r="H111" s="298" t="s">
        <v>39</v>
      </c>
      <c r="I111" s="298" t="s">
        <v>2725</v>
      </c>
      <c r="J111" s="298" t="s">
        <v>2265</v>
      </c>
      <c r="K111" s="298" t="s">
        <v>2298</v>
      </c>
      <c r="L111" s="298"/>
      <c r="M111" s="298" t="s">
        <v>2764</v>
      </c>
      <c r="N111" s="298"/>
      <c r="O111" s="318" t="s">
        <v>2827</v>
      </c>
      <c r="P111" s="298"/>
      <c r="Q111" s="298"/>
      <c r="R111" s="298"/>
      <c r="S111" s="298"/>
      <c r="T111" s="320" t="s">
        <v>2233</v>
      </c>
    </row>
    <row r="112" spans="1:20" s="322" customFormat="1" ht="40.5">
      <c r="A112" s="298" t="s">
        <v>2555</v>
      </c>
      <c r="B112" s="298" t="s">
        <v>2511</v>
      </c>
      <c r="C112" s="298" t="s">
        <v>2593</v>
      </c>
      <c r="D112" s="298" t="s">
        <v>2245</v>
      </c>
      <c r="E112" s="298" t="s">
        <v>38</v>
      </c>
      <c r="F112" s="298" t="s">
        <v>45</v>
      </c>
      <c r="G112" s="298" t="s">
        <v>2248</v>
      </c>
      <c r="H112" s="298" t="s">
        <v>39</v>
      </c>
      <c r="I112" s="298" t="s">
        <v>2726</v>
      </c>
      <c r="J112" s="298" t="s">
        <v>2266</v>
      </c>
      <c r="K112" s="298" t="s">
        <v>2299</v>
      </c>
      <c r="L112" s="298"/>
      <c r="M112" s="298" t="s">
        <v>2764</v>
      </c>
      <c r="N112" s="298"/>
      <c r="O112" s="318" t="s">
        <v>2827</v>
      </c>
      <c r="P112" s="298"/>
      <c r="Q112" s="298"/>
      <c r="R112" s="298"/>
      <c r="S112" s="298"/>
      <c r="T112" s="320" t="s">
        <v>2233</v>
      </c>
    </row>
    <row r="113" spans="1:20" s="322" customFormat="1" ht="54">
      <c r="A113" s="298" t="s">
        <v>2555</v>
      </c>
      <c r="B113" s="298" t="s">
        <v>2511</v>
      </c>
      <c r="C113" s="298" t="s">
        <v>2593</v>
      </c>
      <c r="D113" s="298" t="s">
        <v>2245</v>
      </c>
      <c r="E113" s="298" t="s">
        <v>38</v>
      </c>
      <c r="F113" s="298" t="s">
        <v>45</v>
      </c>
      <c r="G113" s="298" t="s">
        <v>2248</v>
      </c>
      <c r="H113" s="298" t="s">
        <v>39</v>
      </c>
      <c r="I113" s="298" t="s">
        <v>2727</v>
      </c>
      <c r="J113" s="298" t="s">
        <v>2249</v>
      </c>
      <c r="K113" s="298" t="s">
        <v>2425</v>
      </c>
      <c r="L113" s="298"/>
      <c r="M113" s="298" t="s">
        <v>2764</v>
      </c>
      <c r="N113" s="298"/>
      <c r="O113" s="318" t="s">
        <v>2827</v>
      </c>
      <c r="P113" s="298"/>
      <c r="Q113" s="298"/>
      <c r="R113" s="298"/>
      <c r="S113" s="298"/>
      <c r="T113" s="320" t="s">
        <v>2233</v>
      </c>
    </row>
    <row r="114" spans="1:20" s="323" customFormat="1" ht="121.5">
      <c r="A114" s="301" t="s">
        <v>2526</v>
      </c>
      <c r="B114" s="301" t="s">
        <v>2511</v>
      </c>
      <c r="C114" s="301" t="s">
        <v>2594</v>
      </c>
      <c r="D114" s="301" t="s">
        <v>2446</v>
      </c>
      <c r="E114" s="301" t="s">
        <v>38</v>
      </c>
      <c r="F114" s="301" t="s">
        <v>45</v>
      </c>
      <c r="G114" s="301" t="s">
        <v>2424</v>
      </c>
      <c r="H114" s="301" t="s">
        <v>39</v>
      </c>
      <c r="I114" s="301" t="s">
        <v>2728</v>
      </c>
      <c r="J114" s="301" t="s">
        <v>2270</v>
      </c>
      <c r="K114" s="301" t="s">
        <v>2819</v>
      </c>
      <c r="L114" s="301"/>
      <c r="M114" s="301" t="s">
        <v>2764</v>
      </c>
      <c r="N114" s="301"/>
      <c r="O114" s="321" t="s">
        <v>2829</v>
      </c>
      <c r="P114" s="301" t="s">
        <v>2881</v>
      </c>
      <c r="Q114" s="301"/>
      <c r="R114" s="301"/>
      <c r="S114" s="301"/>
      <c r="T114" s="321" t="s">
        <v>2233</v>
      </c>
    </row>
    <row r="115" spans="1:20" s="322" customFormat="1" ht="27">
      <c r="A115" s="298" t="s">
        <v>2518</v>
      </c>
      <c r="B115" s="298" t="s">
        <v>2512</v>
      </c>
      <c r="C115" s="298" t="s">
        <v>2595</v>
      </c>
      <c r="D115" s="298" t="s">
        <v>2453</v>
      </c>
      <c r="E115" s="298" t="s">
        <v>2469</v>
      </c>
      <c r="F115" s="298" t="s">
        <v>45</v>
      </c>
      <c r="G115" s="298" t="s">
        <v>2248</v>
      </c>
      <c r="H115" s="298" t="s">
        <v>39</v>
      </c>
      <c r="I115" s="298" t="s">
        <v>2729</v>
      </c>
      <c r="J115" s="298" t="s">
        <v>2453</v>
      </c>
      <c r="K115" s="298" t="s">
        <v>2513</v>
      </c>
      <c r="L115" s="298"/>
      <c r="M115" s="298" t="s">
        <v>2761</v>
      </c>
      <c r="N115" s="298"/>
      <c r="O115" s="318" t="s">
        <v>2827</v>
      </c>
      <c r="P115" s="298"/>
      <c r="Q115" s="298"/>
      <c r="R115" s="298"/>
      <c r="S115" s="298"/>
      <c r="T115" s="320"/>
    </row>
    <row r="116" spans="1:20" s="322" customFormat="1" ht="27">
      <c r="A116" s="298" t="s">
        <v>2518</v>
      </c>
      <c r="B116" s="298" t="s">
        <v>2512</v>
      </c>
      <c r="C116" s="298" t="s">
        <v>2596</v>
      </c>
      <c r="D116" s="298" t="s">
        <v>2514</v>
      </c>
      <c r="E116" s="298" t="s">
        <v>2469</v>
      </c>
      <c r="F116" s="298" t="s">
        <v>45</v>
      </c>
      <c r="G116" s="298" t="s">
        <v>2248</v>
      </c>
      <c r="H116" s="298" t="s">
        <v>39</v>
      </c>
      <c r="I116" s="298" t="s">
        <v>2730</v>
      </c>
      <c r="J116" s="298" t="s">
        <v>2514</v>
      </c>
      <c r="K116" s="298" t="s">
        <v>2515</v>
      </c>
      <c r="L116" s="298"/>
      <c r="M116" s="298" t="s">
        <v>2761</v>
      </c>
      <c r="N116" s="298"/>
      <c r="O116" s="318" t="s">
        <v>2827</v>
      </c>
      <c r="P116" s="298"/>
      <c r="Q116" s="298"/>
      <c r="R116" s="298"/>
      <c r="S116" s="298"/>
      <c r="T116" s="320"/>
    </row>
    <row r="117" spans="1:20" s="322" customFormat="1" ht="27">
      <c r="A117" s="298" t="s">
        <v>2518</v>
      </c>
      <c r="B117" s="298" t="s">
        <v>2512</v>
      </c>
      <c r="C117" s="298" t="s">
        <v>2597</v>
      </c>
      <c r="D117" s="298" t="s">
        <v>2516</v>
      </c>
      <c r="E117" s="298" t="s">
        <v>2469</v>
      </c>
      <c r="F117" s="298" t="s">
        <v>45</v>
      </c>
      <c r="G117" s="298" t="s">
        <v>2248</v>
      </c>
      <c r="H117" s="298" t="s">
        <v>39</v>
      </c>
      <c r="I117" s="298" t="s">
        <v>2731</v>
      </c>
      <c r="J117" s="298" t="s">
        <v>2516</v>
      </c>
      <c r="K117" s="298" t="s">
        <v>2517</v>
      </c>
      <c r="L117" s="298"/>
      <c r="M117" s="298" t="s">
        <v>2761</v>
      </c>
      <c r="N117" s="298"/>
      <c r="O117" s="318" t="s">
        <v>2827</v>
      </c>
      <c r="P117" s="298"/>
      <c r="Q117" s="298"/>
      <c r="R117" s="298"/>
      <c r="S117" s="298"/>
      <c r="T117" s="320"/>
    </row>
    <row r="118" spans="1:20" s="322" customFormat="1" ht="40.5">
      <c r="A118" s="298" t="s">
        <v>2518</v>
      </c>
      <c r="B118" s="298" t="s">
        <v>2519</v>
      </c>
      <c r="C118" s="298" t="s">
        <v>2598</v>
      </c>
      <c r="D118" s="298" t="s">
        <v>2520</v>
      </c>
      <c r="E118" s="298" t="s">
        <v>2476</v>
      </c>
      <c r="F118" s="298" t="s">
        <v>45</v>
      </c>
      <c r="G118" s="298" t="s">
        <v>2248</v>
      </c>
      <c r="H118" s="298" t="s">
        <v>39</v>
      </c>
      <c r="I118" s="298" t="s">
        <v>2732</v>
      </c>
      <c r="J118" s="298" t="s">
        <v>2520</v>
      </c>
      <c r="K118" s="298" t="s">
        <v>2523</v>
      </c>
      <c r="L118" s="298"/>
      <c r="M118" s="298" t="s">
        <v>2763</v>
      </c>
      <c r="N118" s="298"/>
      <c r="O118" s="318" t="s">
        <v>2827</v>
      </c>
      <c r="P118" s="298"/>
      <c r="Q118" s="298"/>
      <c r="R118" s="298"/>
      <c r="S118" s="298"/>
      <c r="T118" s="320"/>
    </row>
    <row r="119" spans="1:20" s="322" customFormat="1" ht="40.5">
      <c r="A119" s="298" t="s">
        <v>2518</v>
      </c>
      <c r="B119" s="298" t="s">
        <v>2519</v>
      </c>
      <c r="C119" s="298" t="s">
        <v>2599</v>
      </c>
      <c r="D119" s="298" t="s">
        <v>2521</v>
      </c>
      <c r="E119" s="298" t="s">
        <v>2476</v>
      </c>
      <c r="F119" s="298" t="s">
        <v>45</v>
      </c>
      <c r="G119" s="298" t="s">
        <v>2248</v>
      </c>
      <c r="H119" s="298" t="s">
        <v>39</v>
      </c>
      <c r="I119" s="298" t="s">
        <v>2733</v>
      </c>
      <c r="J119" s="298" t="s">
        <v>2521</v>
      </c>
      <c r="K119" s="298" t="s">
        <v>2523</v>
      </c>
      <c r="L119" s="298"/>
      <c r="M119" s="298" t="s">
        <v>2763</v>
      </c>
      <c r="N119" s="298"/>
      <c r="O119" s="318" t="s">
        <v>2827</v>
      </c>
      <c r="P119" s="298"/>
      <c r="Q119" s="298"/>
      <c r="R119" s="298"/>
      <c r="S119" s="298"/>
      <c r="T119" s="320"/>
    </row>
    <row r="120" spans="1:20" s="322" customFormat="1" ht="40.5">
      <c r="A120" s="298" t="s">
        <v>2518</v>
      </c>
      <c r="B120" s="298" t="s">
        <v>2519</v>
      </c>
      <c r="C120" s="298" t="s">
        <v>2600</v>
      </c>
      <c r="D120" s="298" t="s">
        <v>2522</v>
      </c>
      <c r="E120" s="298" t="s">
        <v>2476</v>
      </c>
      <c r="F120" s="298" t="s">
        <v>45</v>
      </c>
      <c r="G120" s="298" t="s">
        <v>2248</v>
      </c>
      <c r="H120" s="298" t="s">
        <v>39</v>
      </c>
      <c r="I120" s="298" t="s">
        <v>2734</v>
      </c>
      <c r="J120" s="298" t="s">
        <v>2522</v>
      </c>
      <c r="K120" s="298" t="s">
        <v>2523</v>
      </c>
      <c r="L120" s="298"/>
      <c r="M120" s="298" t="s">
        <v>2763</v>
      </c>
      <c r="N120" s="298"/>
      <c r="O120" s="318" t="s">
        <v>2827</v>
      </c>
      <c r="P120" s="298"/>
      <c r="Q120" s="298"/>
      <c r="R120" s="298"/>
      <c r="S120" s="298"/>
      <c r="T120" s="320"/>
    </row>
    <row r="121" spans="1:20" s="323" customFormat="1" ht="54">
      <c r="A121" s="301" t="s">
        <v>2267</v>
      </c>
      <c r="B121" s="303" t="s">
        <v>2524</v>
      </c>
      <c r="C121" s="301" t="s">
        <v>2601</v>
      </c>
      <c r="D121" s="301" t="s">
        <v>2440</v>
      </c>
      <c r="E121" s="301" t="s">
        <v>38</v>
      </c>
      <c r="F121" s="301" t="s">
        <v>45</v>
      </c>
      <c r="G121" s="301" t="s">
        <v>2424</v>
      </c>
      <c r="H121" s="301" t="s">
        <v>39</v>
      </c>
      <c r="I121" s="301" t="s">
        <v>2735</v>
      </c>
      <c r="J121" s="301" t="s">
        <v>2274</v>
      </c>
      <c r="K121" s="301" t="s">
        <v>2560</v>
      </c>
      <c r="L121" s="301"/>
      <c r="M121" s="301" t="s">
        <v>2759</v>
      </c>
      <c r="N121" s="301"/>
      <c r="O121" s="321" t="s">
        <v>2829</v>
      </c>
      <c r="P121" s="301" t="s">
        <v>2879</v>
      </c>
      <c r="Q121" s="301"/>
      <c r="R121" s="301"/>
      <c r="S121" s="301" t="s">
        <v>2775</v>
      </c>
      <c r="T121" s="321" t="s">
        <v>2233</v>
      </c>
    </row>
    <row r="122" spans="1:20" s="322" customFormat="1" ht="40.5">
      <c r="A122" s="298" t="s">
        <v>2267</v>
      </c>
      <c r="B122" s="298" t="s">
        <v>2525</v>
      </c>
      <c r="C122" s="298" t="s">
        <v>2601</v>
      </c>
      <c r="D122" s="298" t="s">
        <v>2440</v>
      </c>
      <c r="E122" s="298" t="s">
        <v>38</v>
      </c>
      <c r="F122" s="298" t="s">
        <v>45</v>
      </c>
      <c r="G122" s="298" t="s">
        <v>2248</v>
      </c>
      <c r="H122" s="298" t="s">
        <v>39</v>
      </c>
      <c r="I122" s="298" t="s">
        <v>2736</v>
      </c>
      <c r="J122" s="298" t="s">
        <v>2275</v>
      </c>
      <c r="K122" s="298" t="s">
        <v>2437</v>
      </c>
      <c r="L122" s="298"/>
      <c r="M122" s="298" t="s">
        <v>2760</v>
      </c>
      <c r="N122" s="298"/>
      <c r="O122" s="318" t="s">
        <v>2827</v>
      </c>
      <c r="P122" s="298"/>
      <c r="Q122" s="298"/>
      <c r="R122" s="298"/>
      <c r="S122" s="298"/>
      <c r="T122" s="320" t="s">
        <v>2233</v>
      </c>
    </row>
    <row r="123" spans="1:20" s="322" customFormat="1" ht="67.5">
      <c r="A123" s="298" t="s">
        <v>2267</v>
      </c>
      <c r="B123" s="298" t="s">
        <v>2525</v>
      </c>
      <c r="C123" s="298" t="s">
        <v>2601</v>
      </c>
      <c r="D123" s="298" t="s">
        <v>2440</v>
      </c>
      <c r="E123" s="298" t="s">
        <v>38</v>
      </c>
      <c r="F123" s="298" t="s">
        <v>45</v>
      </c>
      <c r="G123" s="298" t="s">
        <v>2248</v>
      </c>
      <c r="H123" s="298" t="s">
        <v>39</v>
      </c>
      <c r="I123" s="298" t="s">
        <v>2737</v>
      </c>
      <c r="J123" s="298" t="s">
        <v>2276</v>
      </c>
      <c r="K123" s="298" t="s">
        <v>2438</v>
      </c>
      <c r="L123" s="298"/>
      <c r="M123" s="298" t="s">
        <v>2760</v>
      </c>
      <c r="N123" s="298"/>
      <c r="O123" s="318" t="s">
        <v>2827</v>
      </c>
      <c r="P123" s="298"/>
      <c r="Q123" s="298"/>
      <c r="R123" s="298"/>
      <c r="S123" s="298"/>
      <c r="T123" s="320" t="s">
        <v>2233</v>
      </c>
    </row>
    <row r="124" spans="1:20" s="322" customFormat="1" ht="27">
      <c r="A124" s="298" t="s">
        <v>2267</v>
      </c>
      <c r="B124" s="298" t="s">
        <v>2525</v>
      </c>
      <c r="C124" s="298" t="s">
        <v>2601</v>
      </c>
      <c r="D124" s="298" t="s">
        <v>2440</v>
      </c>
      <c r="E124" s="298" t="s">
        <v>38</v>
      </c>
      <c r="F124" s="298" t="s">
        <v>45</v>
      </c>
      <c r="G124" s="298" t="s">
        <v>2248</v>
      </c>
      <c r="H124" s="298" t="s">
        <v>39</v>
      </c>
      <c r="I124" s="298" t="s">
        <v>2738</v>
      </c>
      <c r="J124" s="298" t="s">
        <v>2277</v>
      </c>
      <c r="K124" s="298" t="s">
        <v>2439</v>
      </c>
      <c r="L124" s="298"/>
      <c r="M124" s="298" t="s">
        <v>2760</v>
      </c>
      <c r="N124" s="298"/>
      <c r="O124" s="318" t="s">
        <v>2827</v>
      </c>
      <c r="P124" s="298"/>
      <c r="Q124" s="298"/>
      <c r="R124" s="298"/>
      <c r="S124" s="298"/>
      <c r="T124" s="320" t="s">
        <v>2233</v>
      </c>
    </row>
    <row r="125" spans="1:20" s="322" customFormat="1" ht="67.5">
      <c r="A125" s="298" t="s">
        <v>2267</v>
      </c>
      <c r="B125" s="298" t="s">
        <v>2525</v>
      </c>
      <c r="C125" s="298" t="s">
        <v>2601</v>
      </c>
      <c r="D125" s="298" t="s">
        <v>2440</v>
      </c>
      <c r="E125" s="298" t="s">
        <v>38</v>
      </c>
      <c r="F125" s="298" t="s">
        <v>45</v>
      </c>
      <c r="G125" s="298" t="s">
        <v>2248</v>
      </c>
      <c r="H125" s="298" t="s">
        <v>39</v>
      </c>
      <c r="I125" s="298" t="s">
        <v>2739</v>
      </c>
      <c r="J125" s="298" t="s">
        <v>2278</v>
      </c>
      <c r="K125" s="298" t="s">
        <v>2603</v>
      </c>
      <c r="L125" s="298"/>
      <c r="M125" s="298" t="s">
        <v>2760</v>
      </c>
      <c r="N125" s="298"/>
      <c r="O125" s="318" t="s">
        <v>2827</v>
      </c>
      <c r="P125" s="298"/>
      <c r="Q125" s="298"/>
      <c r="R125" s="298"/>
      <c r="S125" s="298"/>
      <c r="T125" s="320" t="s">
        <v>2233</v>
      </c>
    </row>
    <row r="126" spans="1:20" s="322" customFormat="1" ht="67.5">
      <c r="A126" s="298" t="s">
        <v>2267</v>
      </c>
      <c r="B126" s="298" t="s">
        <v>2525</v>
      </c>
      <c r="C126" s="298" t="s">
        <v>2601</v>
      </c>
      <c r="D126" s="298" t="s">
        <v>2440</v>
      </c>
      <c r="E126" s="298" t="s">
        <v>38</v>
      </c>
      <c r="F126" s="298" t="s">
        <v>45</v>
      </c>
      <c r="G126" s="298" t="s">
        <v>2248</v>
      </c>
      <c r="H126" s="298" t="s">
        <v>39</v>
      </c>
      <c r="I126" s="298" t="s">
        <v>2740</v>
      </c>
      <c r="J126" s="298" t="s">
        <v>2279</v>
      </c>
      <c r="K126" s="298" t="s">
        <v>2604</v>
      </c>
      <c r="L126" s="298"/>
      <c r="M126" s="298" t="s">
        <v>2760</v>
      </c>
      <c r="N126" s="298"/>
      <c r="O126" s="318" t="s">
        <v>2827</v>
      </c>
      <c r="P126" s="298"/>
      <c r="Q126" s="298"/>
      <c r="R126" s="298"/>
      <c r="S126" s="298"/>
      <c r="T126" s="320" t="s">
        <v>2233</v>
      </c>
    </row>
    <row r="127" spans="1:20" s="322" customFormat="1" ht="40.5">
      <c r="A127" s="298" t="s">
        <v>2267</v>
      </c>
      <c r="B127" s="298" t="s">
        <v>2525</v>
      </c>
      <c r="C127" s="298" t="s">
        <v>2602</v>
      </c>
      <c r="D127" s="298" t="s">
        <v>2441</v>
      </c>
      <c r="E127" s="298" t="s">
        <v>38</v>
      </c>
      <c r="F127" s="298" t="s">
        <v>45</v>
      </c>
      <c r="G127" s="298" t="s">
        <v>2248</v>
      </c>
      <c r="H127" s="298" t="s">
        <v>39</v>
      </c>
      <c r="I127" s="298" t="s">
        <v>2741</v>
      </c>
      <c r="J127" s="298" t="s">
        <v>2280</v>
      </c>
      <c r="K127" s="298" t="s">
        <v>2606</v>
      </c>
      <c r="L127" s="298"/>
      <c r="M127" s="298" t="s">
        <v>2760</v>
      </c>
      <c r="N127" s="298"/>
      <c r="O127" s="318" t="s">
        <v>2827</v>
      </c>
      <c r="P127" s="298"/>
      <c r="Q127" s="298"/>
      <c r="R127" s="298"/>
      <c r="S127" s="298"/>
      <c r="T127" s="320" t="s">
        <v>2233</v>
      </c>
    </row>
    <row r="128" spans="1:20" s="323" customFormat="1" ht="54">
      <c r="A128" s="301" t="s">
        <v>2267</v>
      </c>
      <c r="B128" s="301" t="s">
        <v>2525</v>
      </c>
      <c r="C128" s="301" t="s">
        <v>2602</v>
      </c>
      <c r="D128" s="301" t="s">
        <v>2441</v>
      </c>
      <c r="E128" s="301" t="s">
        <v>38</v>
      </c>
      <c r="F128" s="301" t="s">
        <v>45</v>
      </c>
      <c r="G128" s="301" t="s">
        <v>2424</v>
      </c>
      <c r="H128" s="301" t="s">
        <v>39</v>
      </c>
      <c r="I128" s="301" t="s">
        <v>2742</v>
      </c>
      <c r="J128" s="301" t="s">
        <v>2280</v>
      </c>
      <c r="K128" s="301" t="s">
        <v>2605</v>
      </c>
      <c r="L128" s="301"/>
      <c r="M128" s="301" t="s">
        <v>2760</v>
      </c>
      <c r="N128" s="301"/>
      <c r="O128" s="321" t="s">
        <v>2829</v>
      </c>
      <c r="P128" s="327" t="s">
        <v>2878</v>
      </c>
      <c r="Q128" s="301"/>
      <c r="R128" s="301"/>
      <c r="S128" s="301"/>
      <c r="T128" s="321"/>
    </row>
    <row r="129" spans="1:20" s="322" customFormat="1" ht="54">
      <c r="A129" s="298" t="s">
        <v>2267</v>
      </c>
      <c r="B129" s="298" t="s">
        <v>2527</v>
      </c>
      <c r="C129" s="298" t="s">
        <v>2608</v>
      </c>
      <c r="D129" s="298" t="s">
        <v>2445</v>
      </c>
      <c r="E129" s="298" t="s">
        <v>38</v>
      </c>
      <c r="F129" s="298" t="s">
        <v>45</v>
      </c>
      <c r="G129" s="298" t="s">
        <v>2248</v>
      </c>
      <c r="H129" s="298" t="s">
        <v>39</v>
      </c>
      <c r="I129" s="298" t="s">
        <v>2743</v>
      </c>
      <c r="J129" s="298" t="s">
        <v>2269</v>
      </c>
      <c r="K129" s="298" t="s">
        <v>2432</v>
      </c>
      <c r="L129" s="298"/>
      <c r="M129" s="298" t="s">
        <v>2760</v>
      </c>
      <c r="N129" s="298"/>
      <c r="O129" s="318" t="s">
        <v>2827</v>
      </c>
      <c r="P129" s="298"/>
      <c r="Q129" s="298"/>
      <c r="R129" s="298"/>
      <c r="S129" s="298"/>
      <c r="T129" s="320" t="s">
        <v>2233</v>
      </c>
    </row>
    <row r="130" spans="1:20" s="322" customFormat="1" ht="94.5">
      <c r="A130" s="298" t="s">
        <v>2267</v>
      </c>
      <c r="B130" s="298" t="s">
        <v>2527</v>
      </c>
      <c r="C130" s="298" t="s">
        <v>2608</v>
      </c>
      <c r="D130" s="298" t="s">
        <v>2445</v>
      </c>
      <c r="E130" s="298" t="s">
        <v>38</v>
      </c>
      <c r="F130" s="298" t="s">
        <v>45</v>
      </c>
      <c r="G130" s="298" t="s">
        <v>2248</v>
      </c>
      <c r="H130" s="298" t="s">
        <v>39</v>
      </c>
      <c r="I130" s="298" t="s">
        <v>2744</v>
      </c>
      <c r="J130" s="298" t="s">
        <v>2283</v>
      </c>
      <c r="K130" s="298" t="s">
        <v>2435</v>
      </c>
      <c r="L130" s="298"/>
      <c r="M130" s="298" t="s">
        <v>2760</v>
      </c>
      <c r="N130" s="298"/>
      <c r="O130" s="318" t="s">
        <v>2827</v>
      </c>
      <c r="P130" s="298"/>
      <c r="Q130" s="298"/>
      <c r="R130" s="298"/>
      <c r="S130" s="298"/>
      <c r="T130" s="320" t="s">
        <v>2233</v>
      </c>
    </row>
    <row r="131" spans="1:20" s="322" customFormat="1" ht="283.5">
      <c r="A131" s="298" t="s">
        <v>2267</v>
      </c>
      <c r="B131" s="298" t="s">
        <v>2530</v>
      </c>
      <c r="C131" s="298" t="s">
        <v>2609</v>
      </c>
      <c r="D131" s="298" t="s">
        <v>2444</v>
      </c>
      <c r="E131" s="298" t="s">
        <v>38</v>
      </c>
      <c r="F131" s="298" t="s">
        <v>45</v>
      </c>
      <c r="G131" s="298" t="s">
        <v>2248</v>
      </c>
      <c r="H131" s="298" t="s">
        <v>39</v>
      </c>
      <c r="I131" s="298" t="s">
        <v>2745</v>
      </c>
      <c r="J131" s="298" t="s">
        <v>2284</v>
      </c>
      <c r="K131" s="298" t="s">
        <v>2820</v>
      </c>
      <c r="L131" s="298"/>
      <c r="M131" s="298" t="s">
        <v>2760</v>
      </c>
      <c r="N131" s="298"/>
      <c r="O131" s="318" t="s">
        <v>2827</v>
      </c>
      <c r="P131" s="298"/>
      <c r="Q131" s="298"/>
      <c r="R131" s="298"/>
      <c r="S131" s="298"/>
      <c r="T131" s="320" t="s">
        <v>2233</v>
      </c>
    </row>
    <row r="132" spans="1:20" s="322" customFormat="1" ht="27">
      <c r="A132" s="298" t="s">
        <v>1024</v>
      </c>
      <c r="B132" s="298" t="s">
        <v>2531</v>
      </c>
      <c r="C132" s="298" t="s">
        <v>2610</v>
      </c>
      <c r="D132" s="298" t="s">
        <v>2532</v>
      </c>
      <c r="E132" s="298" t="s">
        <v>38</v>
      </c>
      <c r="F132" s="298" t="s">
        <v>45</v>
      </c>
      <c r="G132" s="298" t="s">
        <v>2248</v>
      </c>
      <c r="H132" s="298" t="s">
        <v>39</v>
      </c>
      <c r="I132" s="298" t="s">
        <v>2746</v>
      </c>
      <c r="J132" s="298" t="s">
        <v>2532</v>
      </c>
      <c r="K132" s="298" t="s">
        <v>2533</v>
      </c>
      <c r="L132" s="298"/>
      <c r="M132" s="298" t="s">
        <v>2760</v>
      </c>
      <c r="N132" s="298"/>
      <c r="O132" s="318" t="s">
        <v>2827</v>
      </c>
      <c r="P132" s="298"/>
      <c r="Q132" s="298"/>
      <c r="R132" s="298"/>
      <c r="S132" s="298"/>
      <c r="T132" s="320"/>
    </row>
    <row r="133" spans="1:20" s="322" customFormat="1" ht="40.5">
      <c r="A133" s="298" t="s">
        <v>1024</v>
      </c>
      <c r="B133" s="298" t="s">
        <v>2534</v>
      </c>
      <c r="C133" s="298" t="s">
        <v>2611</v>
      </c>
      <c r="D133" s="298" t="s">
        <v>2535</v>
      </c>
      <c r="E133" s="298" t="s">
        <v>38</v>
      </c>
      <c r="F133" s="298" t="s">
        <v>45</v>
      </c>
      <c r="G133" s="298" t="s">
        <v>2248</v>
      </c>
      <c r="H133" s="298" t="s">
        <v>39</v>
      </c>
      <c r="I133" s="298" t="s">
        <v>2747</v>
      </c>
      <c r="J133" s="298" t="s">
        <v>2535</v>
      </c>
      <c r="K133" s="298" t="s">
        <v>2538</v>
      </c>
      <c r="L133" s="298"/>
      <c r="M133" s="298" t="s">
        <v>2761</v>
      </c>
      <c r="N133" s="298"/>
      <c r="O133" s="318" t="s">
        <v>2827</v>
      </c>
      <c r="P133" s="298"/>
      <c r="Q133" s="298"/>
      <c r="R133" s="298"/>
      <c r="S133" s="298"/>
      <c r="T133" s="320"/>
    </row>
    <row r="134" spans="1:20" s="322" customFormat="1" ht="40.5">
      <c r="A134" s="298" t="s">
        <v>1024</v>
      </c>
      <c r="B134" s="298" t="s">
        <v>2536</v>
      </c>
      <c r="C134" s="298" t="s">
        <v>2612</v>
      </c>
      <c r="D134" s="298" t="s">
        <v>2537</v>
      </c>
      <c r="E134" s="298" t="s">
        <v>38</v>
      </c>
      <c r="F134" s="298" t="s">
        <v>45</v>
      </c>
      <c r="G134" s="298" t="s">
        <v>2248</v>
      </c>
      <c r="H134" s="298" t="s">
        <v>39</v>
      </c>
      <c r="I134" s="298" t="s">
        <v>2748</v>
      </c>
      <c r="J134" s="298" t="s">
        <v>2537</v>
      </c>
      <c r="K134" s="298" t="s">
        <v>2539</v>
      </c>
      <c r="L134" s="298"/>
      <c r="M134" s="298" t="s">
        <v>2761</v>
      </c>
      <c r="N134" s="298"/>
      <c r="O134" s="318" t="s">
        <v>2827</v>
      </c>
      <c r="P134" s="298"/>
      <c r="Q134" s="298"/>
      <c r="R134" s="298"/>
      <c r="S134" s="298"/>
      <c r="T134" s="320"/>
    </row>
    <row r="135" spans="1:20" s="322" customFormat="1" ht="54">
      <c r="A135" s="298" t="s">
        <v>1024</v>
      </c>
      <c r="B135" s="298" t="s">
        <v>2540</v>
      </c>
      <c r="C135" s="298" t="s">
        <v>2613</v>
      </c>
      <c r="D135" s="298" t="s">
        <v>2540</v>
      </c>
      <c r="E135" s="298" t="s">
        <v>38</v>
      </c>
      <c r="F135" s="298" t="s">
        <v>45</v>
      </c>
      <c r="G135" s="298" t="s">
        <v>2248</v>
      </c>
      <c r="H135" s="298" t="s">
        <v>39</v>
      </c>
      <c r="I135" s="298" t="s">
        <v>2749</v>
      </c>
      <c r="J135" s="298" t="s">
        <v>2540</v>
      </c>
      <c r="K135" s="298" t="s">
        <v>2541</v>
      </c>
      <c r="L135" s="298"/>
      <c r="M135" s="298" t="s">
        <v>2761</v>
      </c>
      <c r="N135" s="298"/>
      <c r="O135" s="318" t="s">
        <v>2827</v>
      </c>
      <c r="P135" s="298"/>
      <c r="Q135" s="298"/>
      <c r="R135" s="298"/>
      <c r="S135" s="298"/>
      <c r="T135" s="320"/>
    </row>
    <row r="136" spans="1:20" s="322" customFormat="1" ht="27">
      <c r="A136" s="298" t="s">
        <v>1024</v>
      </c>
      <c r="B136" s="298" t="s">
        <v>2542</v>
      </c>
      <c r="C136" s="298" t="s">
        <v>2614</v>
      </c>
      <c r="D136" s="298" t="s">
        <v>2543</v>
      </c>
      <c r="E136" s="298" t="s">
        <v>38</v>
      </c>
      <c r="F136" s="298" t="s">
        <v>45</v>
      </c>
      <c r="G136" s="298" t="s">
        <v>2248</v>
      </c>
      <c r="H136" s="298" t="s">
        <v>39</v>
      </c>
      <c r="I136" s="298" t="s">
        <v>2750</v>
      </c>
      <c r="J136" s="298" t="s">
        <v>2543</v>
      </c>
      <c r="K136" s="298" t="s">
        <v>2544</v>
      </c>
      <c r="L136" s="298"/>
      <c r="M136" s="298" t="s">
        <v>2761</v>
      </c>
      <c r="N136" s="298"/>
      <c r="O136" s="318" t="s">
        <v>2827</v>
      </c>
      <c r="P136" s="298"/>
      <c r="Q136" s="298"/>
      <c r="R136" s="298"/>
      <c r="S136" s="298"/>
      <c r="T136" s="320"/>
    </row>
    <row r="137" spans="1:20" s="322" customFormat="1" ht="27">
      <c r="A137" s="298" t="s">
        <v>2267</v>
      </c>
      <c r="B137" s="298" t="s">
        <v>2607</v>
      </c>
      <c r="C137" s="298" t="s">
        <v>2615</v>
      </c>
      <c r="D137" s="298" t="s">
        <v>2271</v>
      </c>
      <c r="E137" s="298" t="s">
        <v>38</v>
      </c>
      <c r="F137" s="298" t="s">
        <v>45</v>
      </c>
      <c r="G137" s="298" t="s">
        <v>2248</v>
      </c>
      <c r="H137" s="298" t="s">
        <v>41</v>
      </c>
      <c r="I137" s="298" t="s">
        <v>2751</v>
      </c>
      <c r="J137" s="298" t="s">
        <v>2557</v>
      </c>
      <c r="K137" s="306" t="s">
        <v>2762</v>
      </c>
      <c r="L137" s="298"/>
      <c r="M137" s="298" t="s">
        <v>2760</v>
      </c>
      <c r="N137" s="298"/>
      <c r="O137" s="318" t="s">
        <v>2827</v>
      </c>
      <c r="P137" s="298"/>
      <c r="Q137" s="298"/>
      <c r="R137" s="298"/>
      <c r="S137" s="298"/>
      <c r="T137" s="320" t="s">
        <v>2233</v>
      </c>
    </row>
    <row r="138" spans="1:20" s="322" customFormat="1" ht="27">
      <c r="A138" s="298" t="s">
        <v>2267</v>
      </c>
      <c r="B138" s="298" t="s">
        <v>2607</v>
      </c>
      <c r="C138" s="298" t="s">
        <v>2616</v>
      </c>
      <c r="D138" s="298" t="s">
        <v>2272</v>
      </c>
      <c r="E138" s="298" t="s">
        <v>38</v>
      </c>
      <c r="F138" s="298" t="s">
        <v>45</v>
      </c>
      <c r="G138" s="298" t="s">
        <v>2248</v>
      </c>
      <c r="H138" s="298" t="s">
        <v>41</v>
      </c>
      <c r="I138" s="298" t="s">
        <v>2752</v>
      </c>
      <c r="J138" s="298" t="s">
        <v>2272</v>
      </c>
      <c r="K138" s="298" t="s">
        <v>2433</v>
      </c>
      <c r="L138" s="298"/>
      <c r="M138" s="298" t="s">
        <v>2760</v>
      </c>
      <c r="N138" s="298"/>
      <c r="O138" s="318" t="s">
        <v>2827</v>
      </c>
      <c r="P138" s="298"/>
      <c r="Q138" s="298"/>
      <c r="R138" s="298"/>
      <c r="S138" s="298"/>
      <c r="T138" s="320" t="s">
        <v>2233</v>
      </c>
    </row>
    <row r="139" spans="1:20" s="322" customFormat="1" ht="27">
      <c r="A139" s="298" t="s">
        <v>2267</v>
      </c>
      <c r="B139" s="298" t="s">
        <v>2607</v>
      </c>
      <c r="C139" s="298" t="s">
        <v>2617</v>
      </c>
      <c r="D139" s="298" t="s">
        <v>2273</v>
      </c>
      <c r="E139" s="298" t="s">
        <v>38</v>
      </c>
      <c r="F139" s="298" t="s">
        <v>45</v>
      </c>
      <c r="G139" s="298" t="s">
        <v>2248</v>
      </c>
      <c r="H139" s="298" t="s">
        <v>41</v>
      </c>
      <c r="I139" s="298" t="s">
        <v>2753</v>
      </c>
      <c r="J139" s="298" t="s">
        <v>2273</v>
      </c>
      <c r="K139" s="298" t="s">
        <v>2434</v>
      </c>
      <c r="L139" s="298"/>
      <c r="M139" s="298" t="s">
        <v>2760</v>
      </c>
      <c r="N139" s="298"/>
      <c r="O139" s="318" t="s">
        <v>2827</v>
      </c>
      <c r="P139" s="298"/>
      <c r="Q139" s="298"/>
      <c r="R139" s="298"/>
      <c r="S139" s="298"/>
      <c r="T139" s="320" t="s">
        <v>2233</v>
      </c>
    </row>
    <row r="140" spans="1:20" s="322" customFormat="1" ht="135">
      <c r="A140" s="298" t="s">
        <v>2267</v>
      </c>
      <c r="B140" s="298" t="s">
        <v>2607</v>
      </c>
      <c r="C140" s="298" t="s">
        <v>2618</v>
      </c>
      <c r="D140" s="298" t="s">
        <v>2281</v>
      </c>
      <c r="E140" s="298" t="s">
        <v>38</v>
      </c>
      <c r="F140" s="298" t="s">
        <v>2528</v>
      </c>
      <c r="G140" s="298" t="s">
        <v>2248</v>
      </c>
      <c r="H140" s="298" t="s">
        <v>41</v>
      </c>
      <c r="I140" s="298" t="s">
        <v>2754</v>
      </c>
      <c r="J140" s="298" t="s">
        <v>2282</v>
      </c>
      <c r="K140" s="298" t="s">
        <v>2529</v>
      </c>
      <c r="L140" s="298"/>
      <c r="M140" s="298" t="s">
        <v>2760</v>
      </c>
      <c r="N140" s="298"/>
      <c r="O140" s="318" t="s">
        <v>2827</v>
      </c>
      <c r="P140" s="298"/>
      <c r="Q140" s="298"/>
      <c r="R140" s="298"/>
      <c r="S140" s="298"/>
      <c r="T140" s="320" t="s">
        <v>2233</v>
      </c>
    </row>
    <row r="141" spans="1:20" s="322" customFormat="1" ht="135">
      <c r="A141" s="325" t="s">
        <v>2267</v>
      </c>
      <c r="B141" s="325" t="s">
        <v>2607</v>
      </c>
      <c r="C141" s="325" t="s">
        <v>2619</v>
      </c>
      <c r="D141" s="325" t="s">
        <v>2798</v>
      </c>
      <c r="E141" s="325" t="s">
        <v>38</v>
      </c>
      <c r="F141" s="325" t="s">
        <v>45</v>
      </c>
      <c r="G141" s="325" t="s">
        <v>2424</v>
      </c>
      <c r="H141" s="325" t="s">
        <v>41</v>
      </c>
      <c r="I141" s="325" t="s">
        <v>2755</v>
      </c>
      <c r="J141" s="325" t="s">
        <v>2268</v>
      </c>
      <c r="K141" s="325" t="s">
        <v>2871</v>
      </c>
      <c r="L141" s="325"/>
      <c r="M141" s="325" t="s">
        <v>2760</v>
      </c>
      <c r="N141" s="325"/>
      <c r="O141" s="326" t="s">
        <v>2829</v>
      </c>
      <c r="P141" s="325" t="s">
        <v>2882</v>
      </c>
      <c r="Q141" s="325"/>
      <c r="R141" s="325"/>
      <c r="S141" s="325"/>
      <c r="T141" s="328" t="s">
        <v>2233</v>
      </c>
    </row>
    <row r="142" spans="1:20" s="323" customFormat="1" ht="67.5">
      <c r="A142" s="301" t="s">
        <v>2267</v>
      </c>
      <c r="B142" s="301" t="s">
        <v>2607</v>
      </c>
      <c r="C142" s="301" t="s">
        <v>2620</v>
      </c>
      <c r="D142" s="301" t="s">
        <v>2287</v>
      </c>
      <c r="E142" s="301" t="s">
        <v>38</v>
      </c>
      <c r="F142" s="301" t="s">
        <v>45</v>
      </c>
      <c r="G142" s="301" t="s">
        <v>2424</v>
      </c>
      <c r="H142" s="301" t="s">
        <v>39</v>
      </c>
      <c r="I142" s="301" t="s">
        <v>2756</v>
      </c>
      <c r="J142" s="301" t="s">
        <v>2288</v>
      </c>
      <c r="K142" s="301" t="s">
        <v>2436</v>
      </c>
      <c r="L142" s="301"/>
      <c r="M142" s="301" t="s">
        <v>2758</v>
      </c>
      <c r="N142" s="301"/>
      <c r="O142" s="321" t="s">
        <v>2829</v>
      </c>
      <c r="P142" s="327" t="s">
        <v>2880</v>
      </c>
      <c r="Q142" s="301"/>
      <c r="R142" s="301"/>
      <c r="S142" s="301"/>
      <c r="T142" s="321" t="s">
        <v>2233</v>
      </c>
    </row>
    <row r="143" spans="1:20" ht="54">
      <c r="A143" s="298" t="s">
        <v>2555</v>
      </c>
      <c r="B143" s="298" t="s">
        <v>2511</v>
      </c>
      <c r="C143" s="298" t="s">
        <v>2833</v>
      </c>
      <c r="D143" s="298" t="s">
        <v>2245</v>
      </c>
      <c r="E143" s="298" t="s">
        <v>38</v>
      </c>
      <c r="F143" s="324" t="s">
        <v>2872</v>
      </c>
      <c r="G143" s="298" t="s">
        <v>2869</v>
      </c>
      <c r="H143" s="298"/>
      <c r="I143" s="298" t="s">
        <v>2834</v>
      </c>
      <c r="J143" s="298" t="s">
        <v>2264</v>
      </c>
      <c r="K143" s="298" t="s">
        <v>2835</v>
      </c>
      <c r="L143" s="298"/>
      <c r="M143" s="298" t="s">
        <v>2764</v>
      </c>
      <c r="N143" s="298"/>
      <c r="O143" s="318" t="s">
        <v>2827</v>
      </c>
      <c r="P143" s="298"/>
      <c r="Q143" s="298"/>
      <c r="R143" s="298"/>
      <c r="S143" s="298"/>
      <c r="T143" s="320" t="s">
        <v>2233</v>
      </c>
    </row>
    <row r="144" spans="1:20" ht="54">
      <c r="A144" s="298" t="s">
        <v>2555</v>
      </c>
      <c r="B144" s="298" t="s">
        <v>2511</v>
      </c>
      <c r="C144" s="298" t="s">
        <v>2837</v>
      </c>
      <c r="D144" s="298" t="s">
        <v>2245</v>
      </c>
      <c r="E144" s="298" t="s">
        <v>38</v>
      </c>
      <c r="F144" s="324" t="s">
        <v>2872</v>
      </c>
      <c r="G144" s="298" t="s">
        <v>2869</v>
      </c>
      <c r="H144" s="298"/>
      <c r="I144" s="298" t="s">
        <v>2838</v>
      </c>
      <c r="J144" s="298" t="s">
        <v>2264</v>
      </c>
      <c r="K144" s="298" t="s">
        <v>2847</v>
      </c>
      <c r="L144" s="298"/>
      <c r="M144" s="298" t="s">
        <v>2764</v>
      </c>
      <c r="N144" s="298"/>
      <c r="O144" s="318" t="s">
        <v>2827</v>
      </c>
      <c r="P144" s="298"/>
      <c r="Q144" s="298"/>
      <c r="R144" s="298"/>
      <c r="S144" s="298"/>
      <c r="T144" s="320" t="s">
        <v>2233</v>
      </c>
    </row>
    <row r="145" spans="1:20" ht="27">
      <c r="A145" s="298" t="s">
        <v>2836</v>
      </c>
      <c r="B145" s="298" t="s">
        <v>2580</v>
      </c>
      <c r="C145" s="298" t="s">
        <v>2863</v>
      </c>
      <c r="D145" s="298" t="s">
        <v>2842</v>
      </c>
      <c r="E145" s="298" t="s">
        <v>38</v>
      </c>
      <c r="F145" s="324" t="s">
        <v>2872</v>
      </c>
      <c r="G145" s="298" t="s">
        <v>2869</v>
      </c>
      <c r="H145" s="298"/>
      <c r="I145" s="298" t="s">
        <v>2840</v>
      </c>
      <c r="J145" s="298" t="s">
        <v>2843</v>
      </c>
      <c r="K145" s="298" t="s">
        <v>2839</v>
      </c>
      <c r="L145" s="298"/>
      <c r="M145" s="298" t="s">
        <v>2764</v>
      </c>
      <c r="N145" s="298"/>
      <c r="O145" s="318" t="s">
        <v>2827</v>
      </c>
      <c r="P145" s="298"/>
      <c r="Q145" s="298"/>
      <c r="R145" s="298"/>
      <c r="S145" s="298"/>
      <c r="T145" s="320" t="s">
        <v>2233</v>
      </c>
    </row>
    <row r="146" spans="1:20">
      <c r="A146" s="298" t="s">
        <v>2848</v>
      </c>
      <c r="B146" s="298" t="s">
        <v>2849</v>
      </c>
      <c r="C146" s="298" t="s">
        <v>2864</v>
      </c>
      <c r="D146" s="298" t="s">
        <v>2842</v>
      </c>
      <c r="E146" s="298" t="s">
        <v>38</v>
      </c>
      <c r="F146" s="324" t="s">
        <v>2872</v>
      </c>
      <c r="G146" s="298" t="s">
        <v>2869</v>
      </c>
      <c r="H146" s="298"/>
      <c r="I146" s="298" t="s">
        <v>2841</v>
      </c>
      <c r="J146" s="298" t="s">
        <v>2855</v>
      </c>
      <c r="K146" s="298" t="s">
        <v>2854</v>
      </c>
      <c r="L146" s="298"/>
      <c r="M146" s="298" t="s">
        <v>2764</v>
      </c>
      <c r="N146" s="298"/>
      <c r="O146" s="318" t="s">
        <v>2827</v>
      </c>
      <c r="P146" s="298"/>
      <c r="Q146" s="298"/>
      <c r="R146" s="298"/>
      <c r="S146" s="298"/>
      <c r="T146" s="320" t="s">
        <v>2233</v>
      </c>
    </row>
    <row r="147" spans="1:20" ht="27">
      <c r="A147" s="298" t="s">
        <v>2857</v>
      </c>
      <c r="B147" s="298" t="s">
        <v>2607</v>
      </c>
      <c r="C147" s="298" t="s">
        <v>2865</v>
      </c>
      <c r="D147" s="298" t="s">
        <v>2842</v>
      </c>
      <c r="E147" s="298" t="s">
        <v>38</v>
      </c>
      <c r="F147" s="324" t="s">
        <v>2872</v>
      </c>
      <c r="G147" s="298" t="s">
        <v>2869</v>
      </c>
      <c r="H147" s="298"/>
      <c r="I147" s="298" t="s">
        <v>2850</v>
      </c>
      <c r="J147" s="298" t="s">
        <v>2856</v>
      </c>
      <c r="K147" s="298" t="s">
        <v>2852</v>
      </c>
      <c r="L147" s="298"/>
      <c r="M147" s="298" t="s">
        <v>2764</v>
      </c>
      <c r="N147" s="298"/>
      <c r="O147" s="318" t="s">
        <v>2827</v>
      </c>
      <c r="P147" s="298"/>
      <c r="Q147" s="298"/>
      <c r="R147" s="298"/>
      <c r="S147" s="298"/>
      <c r="T147" s="320" t="s">
        <v>2233</v>
      </c>
    </row>
    <row r="148" spans="1:20" ht="27">
      <c r="A148" s="298" t="s">
        <v>2857</v>
      </c>
      <c r="B148" s="298" t="s">
        <v>2607</v>
      </c>
      <c r="C148" s="298" t="s">
        <v>2866</v>
      </c>
      <c r="D148" s="298" t="s">
        <v>2842</v>
      </c>
      <c r="E148" s="298" t="s">
        <v>38</v>
      </c>
      <c r="F148" s="324" t="s">
        <v>2872</v>
      </c>
      <c r="G148" s="298" t="s">
        <v>2869</v>
      </c>
      <c r="H148" s="298"/>
      <c r="I148" s="298" t="s">
        <v>2851</v>
      </c>
      <c r="J148" s="298" t="s">
        <v>2856</v>
      </c>
      <c r="K148" s="298" t="s">
        <v>2853</v>
      </c>
      <c r="L148" s="298"/>
      <c r="M148" s="298" t="s">
        <v>2764</v>
      </c>
      <c r="N148" s="298"/>
      <c r="O148" s="318" t="s">
        <v>2827</v>
      </c>
      <c r="P148" s="298"/>
      <c r="Q148" s="298"/>
      <c r="R148" s="298"/>
      <c r="S148" s="298"/>
      <c r="T148" s="320" t="s">
        <v>2233</v>
      </c>
    </row>
    <row r="149" spans="1:20" ht="27">
      <c r="A149" s="298" t="s">
        <v>2862</v>
      </c>
      <c r="B149" s="298" t="s">
        <v>2858</v>
      </c>
      <c r="C149" s="298" t="s">
        <v>2867</v>
      </c>
      <c r="D149" s="298" t="s">
        <v>2861</v>
      </c>
      <c r="E149" s="298" t="s">
        <v>38</v>
      </c>
      <c r="F149" s="324" t="s">
        <v>2872</v>
      </c>
      <c r="G149" s="298" t="s">
        <v>2869</v>
      </c>
      <c r="H149" s="298"/>
      <c r="I149" s="298" t="s">
        <v>2859</v>
      </c>
      <c r="J149" s="298" t="s">
        <v>2868</v>
      </c>
      <c r="K149" s="298" t="s">
        <v>2860</v>
      </c>
      <c r="L149" s="298"/>
      <c r="M149" s="298" t="s">
        <v>2764</v>
      </c>
      <c r="N149" s="298"/>
      <c r="O149" s="318" t="s">
        <v>2827</v>
      </c>
      <c r="P149" s="298"/>
      <c r="Q149" s="298"/>
      <c r="R149" s="298"/>
      <c r="S149" s="298"/>
      <c r="T149" s="320" t="s">
        <v>2233</v>
      </c>
    </row>
  </sheetData>
  <autoFilter ref="A1:T149"/>
  <phoneticPr fontId="3" type="noConversion"/>
  <pageMargins left="0.19685039370078741" right="0.15748031496062992" top="0.47244094488188981" bottom="0.43307086614173229" header="0.31496062992125984" footer="0.31496062992125984"/>
  <pageSetup paperSize="9" scale="49"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F12"/>
  <sheetViews>
    <sheetView showGridLines="0" workbookViewId="0">
      <selection activeCell="B25" sqref="B25"/>
    </sheetView>
  </sheetViews>
  <sheetFormatPr defaultRowHeight="16.5"/>
  <cols>
    <col min="1" max="1" width="15.5546875" style="309" customWidth="1"/>
    <col min="2" max="2" width="17.6640625" style="309" customWidth="1"/>
    <col min="3" max="3" width="22.6640625" style="309" bestFit="1" customWidth="1"/>
    <col min="4" max="4" width="14.6640625" style="309" bestFit="1" customWidth="1"/>
    <col min="5" max="5" width="22.88671875" style="309" customWidth="1"/>
    <col min="6" max="6" width="9.44140625" style="309" customWidth="1"/>
    <col min="7" max="7" width="108.88671875" style="310" bestFit="1" customWidth="1"/>
    <col min="8" max="8" width="72" style="310" customWidth="1"/>
    <col min="9" max="9" width="255.77734375" style="310" bestFit="1" customWidth="1"/>
    <col min="10" max="10" width="184.6640625" style="310" customWidth="1"/>
    <col min="11" max="11" width="255.77734375" style="310" bestFit="1" customWidth="1"/>
    <col min="12" max="12" width="49.109375" style="310" customWidth="1"/>
    <col min="13" max="13" width="181.21875" style="310" bestFit="1" customWidth="1"/>
    <col min="14" max="15" width="255.77734375" style="310" bestFit="1" customWidth="1"/>
    <col min="16" max="16" width="248.21875" style="310" bestFit="1" customWidth="1"/>
    <col min="17" max="17" width="255.77734375" style="310" bestFit="1" customWidth="1"/>
    <col min="18" max="18" width="80.88671875" style="310" customWidth="1"/>
    <col min="19" max="19" width="62.44140625" style="310" customWidth="1"/>
    <col min="20" max="20" width="83.21875" style="310" customWidth="1"/>
    <col min="21" max="21" width="204" style="310" bestFit="1" customWidth="1"/>
    <col min="22" max="22" width="255.77734375" style="310" bestFit="1" customWidth="1"/>
    <col min="23" max="23" width="188.6640625" style="310" bestFit="1" customWidth="1"/>
    <col min="24" max="24" width="107.44140625" style="310" customWidth="1"/>
    <col min="25" max="25" width="159" style="310" customWidth="1"/>
    <col min="26" max="26" width="196.21875" style="310" customWidth="1"/>
    <col min="27" max="27" width="106.88671875" style="310" customWidth="1"/>
    <col min="28" max="30" width="255.77734375" style="310" bestFit="1" customWidth="1"/>
    <col min="31" max="31" width="144.6640625" style="310" bestFit="1" customWidth="1"/>
    <col min="32" max="32" width="186.5546875" style="310" customWidth="1"/>
    <col min="33" max="33" width="101.33203125" style="310" customWidth="1"/>
    <col min="34" max="34" width="143.77734375" style="310" bestFit="1" customWidth="1"/>
    <col min="35" max="35" width="255.77734375" style="310" bestFit="1" customWidth="1"/>
    <col min="36" max="36" width="185.88671875" style="310" customWidth="1"/>
    <col min="37" max="41" width="255.77734375" style="310" bestFit="1" customWidth="1"/>
    <col min="42" max="42" width="132.88671875" style="310" customWidth="1"/>
    <col min="43" max="43" width="255.77734375" style="310" bestFit="1" customWidth="1"/>
    <col min="44" max="44" width="76.109375" style="310" customWidth="1"/>
    <col min="45" max="45" width="155.88671875" style="310" customWidth="1"/>
    <col min="46" max="46" width="36.6640625" style="310" customWidth="1"/>
    <col min="47" max="47" width="77.88671875" style="310" customWidth="1"/>
    <col min="48" max="49" width="255.77734375" style="310" bestFit="1" customWidth="1"/>
    <col min="50" max="50" width="168.44140625" style="310" customWidth="1"/>
    <col min="51" max="51" width="236.33203125" style="310" customWidth="1"/>
    <col min="52" max="52" width="241.109375" style="310" bestFit="1" customWidth="1"/>
    <col min="53" max="55" width="255.77734375" style="310" bestFit="1" customWidth="1"/>
    <col min="56" max="56" width="108.88671875" style="310" bestFit="1" customWidth="1"/>
    <col min="57" max="57" width="240.6640625" style="310" customWidth="1"/>
    <col min="58" max="58" width="105.44140625" style="310" customWidth="1"/>
    <col min="59" max="59" width="109" style="310" customWidth="1"/>
    <col min="60" max="60" width="50.77734375" style="310" customWidth="1"/>
    <col min="61" max="61" width="255.77734375" style="310" bestFit="1" customWidth="1"/>
    <col min="62" max="62" width="90.6640625" style="310" customWidth="1"/>
    <col min="63" max="63" width="85.44140625" style="310" customWidth="1"/>
    <col min="64" max="64" width="28.77734375" style="310" customWidth="1"/>
    <col min="65" max="70" width="255.77734375" style="310" bestFit="1" customWidth="1"/>
    <col min="71" max="71" width="221.21875" style="310" bestFit="1" customWidth="1"/>
    <col min="72" max="77" width="255.77734375" style="310" bestFit="1" customWidth="1"/>
    <col min="78" max="78" width="204.88671875" style="310" customWidth="1"/>
    <col min="79" max="79" width="255.77734375" style="310" bestFit="1" customWidth="1"/>
    <col min="80" max="80" width="46.77734375" style="310" customWidth="1"/>
    <col min="81" max="81" width="127.6640625" style="310" customWidth="1"/>
    <col min="82" max="82" width="255.77734375" style="310" bestFit="1" customWidth="1"/>
    <col min="83" max="83" width="142" style="310" customWidth="1"/>
    <col min="84" max="85" width="255.77734375" style="310" bestFit="1" customWidth="1"/>
    <col min="86" max="86" width="232.77734375" style="310" bestFit="1" customWidth="1"/>
    <col min="87" max="87" width="88.77734375" style="310" customWidth="1"/>
    <col min="88" max="89" width="255.77734375" style="310" bestFit="1" customWidth="1"/>
    <col min="90" max="90" width="165.6640625" style="310" customWidth="1"/>
    <col min="91" max="91" width="137.33203125" style="310" customWidth="1"/>
    <col min="92" max="93" width="255.77734375" style="310" bestFit="1" customWidth="1"/>
    <col min="94" max="94" width="113.77734375" style="310" customWidth="1"/>
    <col min="95" max="97" width="255.77734375" style="310" bestFit="1" customWidth="1"/>
    <col min="98" max="98" width="221.5546875" style="310" customWidth="1"/>
    <col min="99" max="100" width="255.77734375" style="310" bestFit="1" customWidth="1"/>
    <col min="101" max="101" width="220" style="310" customWidth="1"/>
    <col min="102" max="103" width="255.77734375" style="310" bestFit="1" customWidth="1"/>
    <col min="104" max="104" width="71" style="310" customWidth="1"/>
    <col min="105" max="105" width="255.77734375" style="310" bestFit="1" customWidth="1"/>
    <col min="106" max="106" width="110.6640625" style="310" customWidth="1"/>
    <col min="107" max="107" width="94.6640625" style="310" customWidth="1"/>
    <col min="108" max="108" width="87.88671875" style="310" customWidth="1"/>
    <col min="109" max="110" width="255.77734375" style="310" bestFit="1" customWidth="1"/>
    <col min="111" max="111" width="214.109375" style="310" customWidth="1"/>
    <col min="112" max="112" width="126.5546875" style="310" customWidth="1"/>
    <col min="113" max="113" width="109.5546875" style="310" customWidth="1"/>
    <col min="114" max="114" width="221.77734375" style="310" bestFit="1" customWidth="1"/>
    <col min="115" max="115" width="227.21875" style="310" bestFit="1" customWidth="1"/>
    <col min="116" max="116" width="91.109375" style="310" customWidth="1"/>
    <col min="117" max="117" width="96.5546875" style="310" customWidth="1"/>
    <col min="118" max="118" width="155.21875" style="310" bestFit="1" customWidth="1"/>
    <col min="119" max="119" width="255.77734375" style="310" bestFit="1" customWidth="1"/>
    <col min="120" max="120" width="156.109375" style="310" bestFit="1" customWidth="1"/>
    <col min="121" max="121" width="125.6640625" style="310" customWidth="1"/>
    <col min="122" max="123" width="255.77734375" style="310" bestFit="1" customWidth="1"/>
    <col min="124" max="124" width="203.44140625" style="310" customWidth="1"/>
    <col min="125" max="125" width="201.5546875" style="310" customWidth="1"/>
    <col min="126" max="126" width="255.77734375" style="310" bestFit="1" customWidth="1"/>
    <col min="127" max="127" width="61.5546875" style="310" customWidth="1"/>
    <col min="128" max="128" width="129.33203125" style="310" bestFit="1" customWidth="1"/>
    <col min="129" max="129" width="255.77734375" style="310" bestFit="1" customWidth="1"/>
    <col min="130" max="130" width="86.5546875" style="310" customWidth="1"/>
    <col min="131" max="131" width="44.88671875" style="310" customWidth="1"/>
    <col min="132" max="132" width="72.109375" style="310" bestFit="1" customWidth="1"/>
    <col min="133" max="133" width="95.88671875" style="310" bestFit="1" customWidth="1"/>
    <col min="134" max="134" width="6.88671875" style="310" customWidth="1"/>
    <col min="135" max="135" width="9.33203125" style="310" bestFit="1" customWidth="1"/>
    <col min="136" max="136" width="6.88671875" style="310" customWidth="1"/>
    <col min="137" max="16384" width="8.88671875" style="310"/>
  </cols>
  <sheetData>
    <row r="3" spans="1:6">
      <c r="A3" s="308" t="s">
        <v>2793</v>
      </c>
      <c r="B3" s="308" t="s">
        <v>2794</v>
      </c>
      <c r="F3"/>
    </row>
    <row r="4" spans="1:6">
      <c r="A4" s="308" t="s">
        <v>2799</v>
      </c>
      <c r="B4" s="309" t="s">
        <v>2826</v>
      </c>
      <c r="C4" s="309" t="s">
        <v>2828</v>
      </c>
      <c r="D4" s="309" t="s">
        <v>2829</v>
      </c>
      <c r="E4" s="309" t="s">
        <v>15</v>
      </c>
      <c r="F4"/>
    </row>
    <row r="5" spans="1:6" ht="24.75" customHeight="1">
      <c r="A5" s="309" t="s">
        <v>2790</v>
      </c>
      <c r="B5" s="311">
        <v>24</v>
      </c>
      <c r="C5" s="311">
        <v>6</v>
      </c>
      <c r="D5" s="311">
        <v>1</v>
      </c>
      <c r="E5" s="311">
        <v>31</v>
      </c>
      <c r="F5"/>
    </row>
    <row r="6" spans="1:6" ht="24.75" customHeight="1">
      <c r="A6" s="309" t="s">
        <v>2788</v>
      </c>
      <c r="B6" s="311">
        <v>47</v>
      </c>
      <c r="C6" s="311">
        <v>1</v>
      </c>
      <c r="D6" s="311">
        <v>2</v>
      </c>
      <c r="E6" s="311">
        <v>50</v>
      </c>
      <c r="F6"/>
    </row>
    <row r="7" spans="1:6" ht="24.75" customHeight="1">
      <c r="A7" s="309" t="s">
        <v>2791</v>
      </c>
      <c r="B7" s="311">
        <v>4</v>
      </c>
      <c r="C7" s="311"/>
      <c r="D7" s="311"/>
      <c r="E7" s="311">
        <v>4</v>
      </c>
      <c r="F7"/>
    </row>
    <row r="8" spans="1:6" ht="24.75" customHeight="1">
      <c r="A8" s="309" t="s">
        <v>2789</v>
      </c>
      <c r="B8" s="311">
        <v>10</v>
      </c>
      <c r="C8" s="311"/>
      <c r="D8" s="311">
        <v>5</v>
      </c>
      <c r="E8" s="311">
        <v>15</v>
      </c>
      <c r="F8"/>
    </row>
    <row r="9" spans="1:6" ht="24.75" customHeight="1">
      <c r="A9" s="309" t="s">
        <v>2555</v>
      </c>
      <c r="B9" s="311">
        <v>12</v>
      </c>
      <c r="C9" s="311"/>
      <c r="D9" s="311">
        <v>1</v>
      </c>
      <c r="E9" s="311">
        <v>13</v>
      </c>
      <c r="F9"/>
    </row>
    <row r="10" spans="1:6" s="314" customFormat="1" ht="24.75" customHeight="1">
      <c r="A10" s="312" t="s">
        <v>2787</v>
      </c>
      <c r="B10" s="313">
        <v>13</v>
      </c>
      <c r="C10" s="313"/>
      <c r="D10" s="313">
        <v>4</v>
      </c>
      <c r="E10" s="313">
        <v>17</v>
      </c>
      <c r="F10"/>
    </row>
    <row r="11" spans="1:6" s="314" customFormat="1" ht="24.75" customHeight="1">
      <c r="A11" s="312" t="s">
        <v>648</v>
      </c>
      <c r="B11" s="313">
        <v>11</v>
      </c>
      <c r="C11" s="313"/>
      <c r="D11" s="313"/>
      <c r="E11" s="313">
        <v>11</v>
      </c>
      <c r="F11"/>
    </row>
    <row r="12" spans="1:6" ht="24.75" customHeight="1">
      <c r="A12" s="309" t="s">
        <v>15</v>
      </c>
      <c r="B12" s="311">
        <v>121</v>
      </c>
      <c r="C12" s="311">
        <v>7</v>
      </c>
      <c r="D12" s="311">
        <v>13</v>
      </c>
      <c r="E12" s="311">
        <v>141</v>
      </c>
      <c r="F12"/>
    </row>
  </sheetData>
  <phoneticPr fontId="3" type="noConversion"/>
  <pageMargins left="0.7" right="0.7" top="0.75" bottom="0.75" header="0.3" footer="0.3"/>
  <pageSetup paperSize="9"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31"/>
  <sheetViews>
    <sheetView showGridLines="0" workbookViewId="0">
      <selection activeCell="E21" sqref="E21"/>
    </sheetView>
  </sheetViews>
  <sheetFormatPr defaultRowHeight="16.5"/>
  <cols>
    <col min="1" max="1" width="17.33203125" style="314" customWidth="1"/>
    <col min="2" max="2" width="8.5546875" style="314" customWidth="1"/>
    <col min="3" max="3" width="16.21875" style="312" customWidth="1"/>
    <col min="4" max="4" width="22.6640625" style="312" bestFit="1" customWidth="1"/>
    <col min="5" max="5" width="14.6640625" style="312" customWidth="1"/>
    <col min="6" max="7" width="6.5546875" style="312" customWidth="1"/>
    <col min="8" max="8" width="6.88671875" style="314" customWidth="1"/>
    <col min="9" max="9" width="8.6640625" style="314" customWidth="1"/>
    <col min="10" max="16384" width="8.88671875" style="314"/>
  </cols>
  <sheetData>
    <row r="2" spans="1:8">
      <c r="A2" s="315"/>
      <c r="B2" s="315"/>
      <c r="C2" s="316"/>
      <c r="D2" s="316"/>
      <c r="E2" s="316"/>
      <c r="F2" s="316"/>
      <c r="G2" s="316"/>
      <c r="H2" s="315"/>
    </row>
    <row r="3" spans="1:8">
      <c r="A3" s="315" t="s">
        <v>2792</v>
      </c>
      <c r="B3" s="315"/>
      <c r="C3" s="316" t="s">
        <v>2825</v>
      </c>
      <c r="D3" s="316"/>
      <c r="E3" s="316"/>
      <c r="F3" s="316"/>
      <c r="G3"/>
      <c r="H3" s="315"/>
    </row>
    <row r="4" spans="1:8">
      <c r="A4" s="315"/>
      <c r="B4" s="315"/>
      <c r="C4" s="316" t="s">
        <v>18</v>
      </c>
      <c r="D4" s="316"/>
      <c r="E4" s="316" t="s">
        <v>19</v>
      </c>
      <c r="F4" s="316" t="s">
        <v>15</v>
      </c>
      <c r="G4"/>
      <c r="H4" s="315"/>
    </row>
    <row r="5" spans="1:8" ht="21.75" customHeight="1">
      <c r="A5" s="315" t="s">
        <v>2824</v>
      </c>
      <c r="B5" s="315" t="s">
        <v>2799</v>
      </c>
      <c r="C5" s="316" t="s">
        <v>2826</v>
      </c>
      <c r="D5" s="316" t="s">
        <v>2828</v>
      </c>
      <c r="E5" s="316" t="s">
        <v>2829</v>
      </c>
      <c r="F5" s="316"/>
      <c r="G5"/>
      <c r="H5" s="315"/>
    </row>
    <row r="6" spans="1:8" ht="21.75" customHeight="1">
      <c r="A6" s="315" t="s">
        <v>16</v>
      </c>
      <c r="B6" s="315" t="s">
        <v>2790</v>
      </c>
      <c r="C6" s="317">
        <v>20</v>
      </c>
      <c r="D6" s="317">
        <v>6</v>
      </c>
      <c r="E6" s="317"/>
      <c r="F6" s="317">
        <v>26</v>
      </c>
      <c r="G6"/>
      <c r="H6" s="315"/>
    </row>
    <row r="7" spans="1:8" ht="21.75" customHeight="1">
      <c r="A7" s="315"/>
      <c r="B7" s="315" t="s">
        <v>2788</v>
      </c>
      <c r="C7" s="317">
        <v>47</v>
      </c>
      <c r="D7" s="317">
        <v>1</v>
      </c>
      <c r="E7" s="317">
        <v>2</v>
      </c>
      <c r="F7" s="317">
        <v>50</v>
      </c>
      <c r="G7"/>
      <c r="H7" s="315"/>
    </row>
    <row r="8" spans="1:8" ht="21.75" customHeight="1">
      <c r="A8" s="315"/>
      <c r="B8" s="315" t="s">
        <v>2789</v>
      </c>
      <c r="C8" s="317">
        <v>10</v>
      </c>
      <c r="D8" s="317"/>
      <c r="E8" s="317">
        <v>5</v>
      </c>
      <c r="F8" s="317">
        <v>15</v>
      </c>
      <c r="G8"/>
      <c r="H8" s="315"/>
    </row>
    <row r="9" spans="1:8" ht="21.75" customHeight="1">
      <c r="A9" s="315"/>
      <c r="B9" s="315" t="s">
        <v>2791</v>
      </c>
      <c r="C9" s="317">
        <v>4</v>
      </c>
      <c r="D9" s="317"/>
      <c r="E9" s="317"/>
      <c r="F9" s="317">
        <v>4</v>
      </c>
      <c r="G9"/>
      <c r="H9" s="315"/>
    </row>
    <row r="10" spans="1:8" ht="21.75" customHeight="1">
      <c r="A10" s="315"/>
      <c r="B10" s="315" t="s">
        <v>2555</v>
      </c>
      <c r="C10" s="317">
        <v>12</v>
      </c>
      <c r="D10" s="317"/>
      <c r="E10" s="317">
        <v>1</v>
      </c>
      <c r="F10" s="317">
        <v>13</v>
      </c>
      <c r="G10"/>
      <c r="H10" s="315"/>
    </row>
    <row r="11" spans="1:8" ht="21.75" customHeight="1">
      <c r="A11" s="315"/>
      <c r="B11" s="315" t="s">
        <v>2787</v>
      </c>
      <c r="C11" s="317">
        <v>13</v>
      </c>
      <c r="D11" s="317"/>
      <c r="E11" s="317">
        <v>4</v>
      </c>
      <c r="F11" s="317">
        <v>17</v>
      </c>
      <c r="G11"/>
      <c r="H11" s="315"/>
    </row>
    <row r="12" spans="1:8" ht="21.75" customHeight="1">
      <c r="A12" s="315"/>
      <c r="B12" s="315" t="s">
        <v>648</v>
      </c>
      <c r="C12" s="317">
        <v>8</v>
      </c>
      <c r="D12" s="317"/>
      <c r="E12" s="317"/>
      <c r="F12" s="317">
        <v>8</v>
      </c>
      <c r="G12"/>
      <c r="H12" s="315"/>
    </row>
    <row r="13" spans="1:8" ht="21.75" customHeight="1">
      <c r="A13" s="315" t="s">
        <v>2800</v>
      </c>
      <c r="B13" s="315"/>
      <c r="C13" s="317">
        <v>114</v>
      </c>
      <c r="D13" s="317">
        <v>7</v>
      </c>
      <c r="E13" s="317">
        <v>12</v>
      </c>
      <c r="F13" s="317">
        <v>133</v>
      </c>
      <c r="G13"/>
      <c r="H13" s="315"/>
    </row>
    <row r="14" spans="1:8" ht="21.75" customHeight="1">
      <c r="A14" s="315" t="s">
        <v>17</v>
      </c>
      <c r="B14" s="315" t="s">
        <v>2790</v>
      </c>
      <c r="C14" s="317">
        <v>4</v>
      </c>
      <c r="D14" s="317"/>
      <c r="E14" s="317">
        <v>1</v>
      </c>
      <c r="F14" s="317">
        <v>5</v>
      </c>
      <c r="G14"/>
      <c r="H14" s="315"/>
    </row>
    <row r="15" spans="1:8" ht="21.75" customHeight="1">
      <c r="A15" s="315"/>
      <c r="B15" s="315" t="s">
        <v>648</v>
      </c>
      <c r="C15" s="317">
        <v>3</v>
      </c>
      <c r="D15" s="317"/>
      <c r="E15" s="317"/>
      <c r="F15" s="317">
        <v>3</v>
      </c>
      <c r="G15"/>
      <c r="H15" s="315"/>
    </row>
    <row r="16" spans="1:8" ht="21.75" customHeight="1">
      <c r="A16" s="315" t="s">
        <v>2801</v>
      </c>
      <c r="B16" s="315"/>
      <c r="C16" s="317">
        <v>7</v>
      </c>
      <c r="D16" s="317"/>
      <c r="E16" s="317">
        <v>1</v>
      </c>
      <c r="F16" s="317">
        <v>8</v>
      </c>
      <c r="G16"/>
      <c r="H16" s="315"/>
    </row>
    <row r="17" spans="1:8" ht="21.75" customHeight="1">
      <c r="A17" s="315" t="s">
        <v>15</v>
      </c>
      <c r="B17" s="315"/>
      <c r="C17" s="317">
        <v>121</v>
      </c>
      <c r="D17" s="317">
        <v>7</v>
      </c>
      <c r="E17" s="317">
        <v>13</v>
      </c>
      <c r="F17" s="317">
        <v>141</v>
      </c>
      <c r="G17"/>
      <c r="H17" s="315"/>
    </row>
    <row r="18" spans="1:8">
      <c r="A18" s="315"/>
      <c r="B18" s="315"/>
      <c r="C18" s="316"/>
      <c r="D18" s="316"/>
      <c r="E18" s="316"/>
      <c r="F18" s="316"/>
      <c r="G18" s="316"/>
      <c r="H18" s="315"/>
    </row>
    <row r="19" spans="1:8">
      <c r="A19" s="315"/>
      <c r="B19" s="315"/>
      <c r="C19" s="316"/>
      <c r="D19" s="316"/>
      <c r="E19" s="316"/>
      <c r="F19" s="316"/>
      <c r="G19" s="316"/>
      <c r="H19" s="315"/>
    </row>
    <row r="20" spans="1:8">
      <c r="A20" s="315"/>
      <c r="B20" s="315"/>
      <c r="C20" s="316"/>
      <c r="D20" s="316"/>
      <c r="E20" s="316"/>
      <c r="F20" s="316"/>
      <c r="G20" s="316"/>
      <c r="H20" s="315"/>
    </row>
    <row r="21" spans="1:8">
      <c r="A21" s="315"/>
      <c r="B21" s="315"/>
      <c r="C21" s="316"/>
      <c r="D21" s="316"/>
      <c r="E21" s="316"/>
      <c r="F21" s="316"/>
      <c r="G21" s="316"/>
      <c r="H21" s="315"/>
    </row>
    <row r="22" spans="1:8">
      <c r="A22" s="315"/>
      <c r="B22" s="315"/>
      <c r="C22" s="316"/>
      <c r="D22" s="316"/>
      <c r="E22" s="316"/>
      <c r="F22" s="316"/>
      <c r="G22" s="316"/>
      <c r="H22" s="315"/>
    </row>
    <row r="23" spans="1:8">
      <c r="A23" s="315"/>
      <c r="B23" s="315"/>
      <c r="C23" s="316"/>
      <c r="D23" s="316"/>
      <c r="E23" s="316"/>
      <c r="F23" s="316"/>
      <c r="G23" s="316"/>
      <c r="H23" s="315"/>
    </row>
    <row r="24" spans="1:8">
      <c r="A24" s="315"/>
      <c r="B24" s="315"/>
      <c r="C24" s="316"/>
      <c r="D24" s="316"/>
      <c r="E24" s="316"/>
      <c r="F24" s="316"/>
      <c r="G24" s="316"/>
      <c r="H24" s="315"/>
    </row>
    <row r="31" spans="1:8">
      <c r="B31" s="314" t="s">
        <v>2797</v>
      </c>
    </row>
  </sheetData>
  <phoneticPr fontId="3" type="noConversion"/>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33:J133"/>
  <sheetViews>
    <sheetView showGridLines="0" view="pageBreakPreview" topLeftCell="A32" zoomScale="130" zoomScaleNormal="120" zoomScaleSheetLayoutView="130" workbookViewId="0">
      <selection activeCell="L24" sqref="L24"/>
    </sheetView>
  </sheetViews>
  <sheetFormatPr defaultRowHeight="15"/>
  <cols>
    <col min="1" max="11" width="8.88671875" style="39"/>
    <col min="12" max="12" width="29.109375" style="39" customWidth="1"/>
    <col min="13" max="16384" width="8.88671875" style="39"/>
  </cols>
  <sheetData>
    <row r="133" spans="1:10">
      <c r="A133" s="357" t="s">
        <v>32</v>
      </c>
      <c r="B133" s="358"/>
      <c r="C133" s="358"/>
      <c r="D133" s="358"/>
      <c r="E133" s="358"/>
      <c r="F133" s="358"/>
      <c r="G133" s="358"/>
      <c r="H133" s="358"/>
      <c r="I133" s="358"/>
      <c r="J133" s="358"/>
    </row>
  </sheetData>
  <mergeCells count="1">
    <mergeCell ref="A133:J133"/>
  </mergeCells>
  <phoneticPr fontId="3" type="noConversion"/>
  <printOptions horizontalCentered="1" verticalCentered="1"/>
  <pageMargins left="0.31496062992125984" right="0.31496062992125984" top="1.1417322834645669" bottom="0.74803149606299213" header="0.31496062992125984" footer="0.31496062992125984"/>
  <pageSetup paperSize="9" scale="66" fitToHeight="0" orientation="portrait" r:id="rId1"/>
  <rowBreaks count="2" manualBreakCount="2">
    <brk id="67" max="11" man="1"/>
    <brk id="113" max="1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28"/>
  <sheetViews>
    <sheetView workbookViewId="0">
      <selection activeCell="F45" sqref="F45"/>
    </sheetView>
  </sheetViews>
  <sheetFormatPr defaultRowHeight="13.5"/>
  <cols>
    <col min="1" max="1" width="1.5546875" style="104" customWidth="1"/>
    <col min="2" max="2" width="13.88671875" style="101" bestFit="1" customWidth="1"/>
    <col min="3" max="4" width="10.5546875" style="101" customWidth="1"/>
    <col min="5" max="7" width="9.44140625" style="101" customWidth="1"/>
    <col min="8" max="8" width="5.5546875" style="101" customWidth="1"/>
    <col min="9" max="9" width="10.5546875" style="101" customWidth="1"/>
    <col min="10" max="10" width="7.6640625" style="101" bestFit="1" customWidth="1"/>
    <col min="11" max="11" width="6" style="101" bestFit="1" customWidth="1"/>
    <col min="12" max="12" width="2.33203125" style="104" customWidth="1"/>
    <col min="13" max="13" width="10.88671875" style="104" hidden="1" customWidth="1"/>
    <col min="14" max="15" width="0" style="104" hidden="1" customWidth="1"/>
    <col min="16" max="16" width="6.6640625" style="104" hidden="1" customWidth="1"/>
    <col min="17" max="17" width="0" style="104" hidden="1" customWidth="1"/>
    <col min="18" max="19" width="7.5546875" style="104" hidden="1" customWidth="1"/>
    <col min="20" max="22" width="0" style="104" hidden="1" customWidth="1"/>
    <col min="23" max="16384" width="8.88671875" style="104"/>
  </cols>
  <sheetData>
    <row r="1" spans="2:19">
      <c r="B1" s="188" t="s">
        <v>727</v>
      </c>
    </row>
    <row r="2" spans="2:19">
      <c r="B2" s="220"/>
      <c r="K2" s="189" t="s">
        <v>729</v>
      </c>
      <c r="M2" s="113" t="s">
        <v>592</v>
      </c>
      <c r="N2" s="101"/>
      <c r="O2" s="101"/>
      <c r="P2" s="101"/>
      <c r="Q2" s="101"/>
      <c r="R2" s="101"/>
      <c r="S2" s="101"/>
    </row>
    <row r="3" spans="2:19" ht="13.5" customHeight="1">
      <c r="B3" s="114" t="s">
        <v>27</v>
      </c>
      <c r="C3" s="359" t="s">
        <v>583</v>
      </c>
      <c r="D3" s="360"/>
      <c r="E3" s="360"/>
      <c r="F3" s="360"/>
      <c r="G3" s="360"/>
      <c r="H3" s="361"/>
      <c r="I3" s="362" t="s">
        <v>817</v>
      </c>
      <c r="J3" s="364" t="s">
        <v>818</v>
      </c>
      <c r="K3" s="364" t="s">
        <v>778</v>
      </c>
      <c r="M3" s="359" t="s">
        <v>583</v>
      </c>
      <c r="N3" s="360"/>
      <c r="O3" s="360"/>
      <c r="P3" s="361"/>
      <c r="Q3" s="362" t="s">
        <v>584</v>
      </c>
      <c r="R3" s="364" t="s">
        <v>585</v>
      </c>
      <c r="S3" s="364" t="s">
        <v>778</v>
      </c>
    </row>
    <row r="4" spans="2:19" ht="36">
      <c r="B4" s="114" t="s">
        <v>28</v>
      </c>
      <c r="C4" s="115" t="s">
        <v>586</v>
      </c>
      <c r="D4" s="115" t="s">
        <v>587</v>
      </c>
      <c r="E4" s="115" t="s">
        <v>590</v>
      </c>
      <c r="F4" s="209" t="s">
        <v>799</v>
      </c>
      <c r="G4" s="211" t="s">
        <v>816</v>
      </c>
      <c r="H4" s="115" t="s">
        <v>589</v>
      </c>
      <c r="I4" s="363"/>
      <c r="J4" s="364"/>
      <c r="K4" s="364"/>
      <c r="M4" s="115" t="s">
        <v>586</v>
      </c>
      <c r="N4" s="115" t="s">
        <v>587</v>
      </c>
      <c r="O4" s="115" t="s">
        <v>588</v>
      </c>
      <c r="P4" s="115" t="s">
        <v>589</v>
      </c>
      <c r="Q4" s="363"/>
      <c r="R4" s="364"/>
      <c r="S4" s="364"/>
    </row>
    <row r="5" spans="2:19">
      <c r="B5" s="72" t="s">
        <v>516</v>
      </c>
      <c r="C5" s="72" t="e">
        <f>COUNTIFS(#REF!,'※(요약)확정현황'!B5,#REF!,"승인")</f>
        <v>#REF!</v>
      </c>
      <c r="D5" s="72" t="e">
        <f>COUNTIFS(#REF!,'※(요약)확정현황'!B5,#REF!,"조건부승인")</f>
        <v>#REF!</v>
      </c>
      <c r="E5" s="72" t="e">
        <f>COUNTIFS(#REF!,'※(요약)확정현황'!B5,#REF!,"거부")</f>
        <v>#REF!</v>
      </c>
      <c r="F5" s="72" t="e">
        <f>COUNTIFS(#REF!,'※(요약)확정현황'!B5,#REF!,"거부-이관")</f>
        <v>#REF!</v>
      </c>
      <c r="G5" s="72" t="e">
        <f>COUNTIFS(#REF!,'※(요약)확정현황'!B5,#REF!,"거부-통폐합")</f>
        <v>#REF!</v>
      </c>
      <c r="H5" s="72" t="e">
        <f>COUNTIFS(#REF!,'※(요약)확정현황'!B5,#REF!,"")</f>
        <v>#REF!</v>
      </c>
      <c r="I5" s="72" t="e">
        <f t="shared" ref="I5:I10" si="0">SUM(C5:H5)</f>
        <v>#REF!</v>
      </c>
      <c r="J5" s="117" t="e">
        <f>(C5+D5+E5+F5+G5)/I5</f>
        <v>#REF!</v>
      </c>
      <c r="K5" s="117" t="e">
        <f t="shared" ref="K5:K11" si="1">(C5+D5)/I5</f>
        <v>#REF!</v>
      </c>
      <c r="M5" s="116" t="e">
        <f t="shared" ref="M5:O9" si="2">C5-C16</f>
        <v>#REF!</v>
      </c>
      <c r="N5" s="116" t="e">
        <f t="shared" si="2"/>
        <v>#REF!</v>
      </c>
      <c r="O5" s="116" t="e">
        <f t="shared" si="2"/>
        <v>#REF!</v>
      </c>
      <c r="P5" s="116" t="e">
        <f>H5-H16</f>
        <v>#REF!</v>
      </c>
      <c r="Q5" s="116" t="e">
        <f>I5-I16</f>
        <v>#REF!</v>
      </c>
      <c r="R5" s="121" t="e">
        <f>J5-J16</f>
        <v>#REF!</v>
      </c>
      <c r="S5" s="121" t="e">
        <f>K5-K16</f>
        <v>#REF!</v>
      </c>
    </row>
    <row r="6" spans="2:19">
      <c r="B6" s="72" t="s">
        <v>523</v>
      </c>
      <c r="C6" s="72" t="e">
        <f>COUNTIFS(#REF!,'※(요약)확정현황'!B6,#REF!,"승인")</f>
        <v>#REF!</v>
      </c>
      <c r="D6" s="72" t="e">
        <f>COUNTIFS(#REF!,'※(요약)확정현황'!B6,#REF!,"조건부승인")</f>
        <v>#REF!</v>
      </c>
      <c r="E6" s="72" t="e">
        <f>COUNTIFS(#REF!,'※(요약)확정현황'!B6,#REF!,"거부")</f>
        <v>#REF!</v>
      </c>
      <c r="F6" s="72" t="e">
        <f>COUNTIFS(#REF!,'※(요약)확정현황'!B6,#REF!,"거부-이관")</f>
        <v>#REF!</v>
      </c>
      <c r="G6" s="72" t="e">
        <f>COUNTIFS(#REF!,'※(요약)확정현황'!B6,#REF!,"거부-통폐합")</f>
        <v>#REF!</v>
      </c>
      <c r="H6" s="72" t="e">
        <f>COUNTIFS(#REF!,'※(요약)확정현황'!B6,#REF!,"")</f>
        <v>#REF!</v>
      </c>
      <c r="I6" s="72" t="e">
        <f t="shared" si="0"/>
        <v>#REF!</v>
      </c>
      <c r="J6" s="117" t="e">
        <f t="shared" ref="J6:J11" si="3">(C6+D6+E6+F6+G6)/I6</f>
        <v>#REF!</v>
      </c>
      <c r="K6" s="117" t="e">
        <f t="shared" si="1"/>
        <v>#REF!</v>
      </c>
      <c r="M6" s="116" t="e">
        <f t="shared" si="2"/>
        <v>#REF!</v>
      </c>
      <c r="N6" s="116" t="e">
        <f t="shared" si="2"/>
        <v>#REF!</v>
      </c>
      <c r="O6" s="116" t="e">
        <f t="shared" si="2"/>
        <v>#REF!</v>
      </c>
      <c r="P6" s="116" t="e">
        <f t="shared" ref="P6:S9" si="4">H6-H17</f>
        <v>#REF!</v>
      </c>
      <c r="Q6" s="116" t="e">
        <f t="shared" si="4"/>
        <v>#REF!</v>
      </c>
      <c r="R6" s="121" t="e">
        <f t="shared" si="4"/>
        <v>#REF!</v>
      </c>
      <c r="S6" s="121" t="e">
        <f t="shared" si="4"/>
        <v>#REF!</v>
      </c>
    </row>
    <row r="7" spans="2:19">
      <c r="B7" s="72" t="s">
        <v>538</v>
      </c>
      <c r="C7" s="72" t="e">
        <f>COUNTIFS(#REF!,'※(요약)확정현황'!B7,#REF!,"승인")</f>
        <v>#REF!</v>
      </c>
      <c r="D7" s="72" t="e">
        <f>COUNTIFS(#REF!,'※(요약)확정현황'!B7,#REF!,"조건부승인")</f>
        <v>#REF!</v>
      </c>
      <c r="E7" s="72" t="e">
        <f>COUNTIFS(#REF!,'※(요약)확정현황'!B7,#REF!,"거부")</f>
        <v>#REF!</v>
      </c>
      <c r="F7" s="72" t="e">
        <f>COUNTIFS(#REF!,'※(요약)확정현황'!B7,#REF!,"거부-이관")</f>
        <v>#REF!</v>
      </c>
      <c r="G7" s="72" t="e">
        <f>COUNTIFS(#REF!,'※(요약)확정현황'!B7,#REF!,"거부-통폐합")</f>
        <v>#REF!</v>
      </c>
      <c r="H7" s="72" t="e">
        <f>COUNTIFS(#REF!,'※(요약)확정현황'!B7,#REF!,"")</f>
        <v>#REF!</v>
      </c>
      <c r="I7" s="72" t="e">
        <f t="shared" si="0"/>
        <v>#REF!</v>
      </c>
      <c r="J7" s="117" t="e">
        <f t="shared" si="3"/>
        <v>#REF!</v>
      </c>
      <c r="K7" s="117" t="e">
        <f t="shared" si="1"/>
        <v>#REF!</v>
      </c>
      <c r="M7" s="116" t="e">
        <f t="shared" si="2"/>
        <v>#REF!</v>
      </c>
      <c r="N7" s="116" t="e">
        <f t="shared" si="2"/>
        <v>#REF!</v>
      </c>
      <c r="O7" s="116" t="e">
        <f t="shared" si="2"/>
        <v>#REF!</v>
      </c>
      <c r="P7" s="116" t="e">
        <f t="shared" si="4"/>
        <v>#REF!</v>
      </c>
      <c r="Q7" s="116" t="e">
        <f t="shared" si="4"/>
        <v>#REF!</v>
      </c>
      <c r="R7" s="121" t="e">
        <f t="shared" si="4"/>
        <v>#REF!</v>
      </c>
      <c r="S7" s="121" t="e">
        <f t="shared" si="4"/>
        <v>#REF!</v>
      </c>
    </row>
    <row r="8" spans="2:19">
      <c r="B8" s="72" t="s">
        <v>534</v>
      </c>
      <c r="C8" s="72" t="e">
        <f>COUNTIFS(#REF!,'※(요약)확정현황'!B8,#REF!,"승인")</f>
        <v>#REF!</v>
      </c>
      <c r="D8" s="72" t="e">
        <f>COUNTIFS(#REF!,'※(요약)확정현황'!B8,#REF!,"조건부승인")</f>
        <v>#REF!</v>
      </c>
      <c r="E8" s="72" t="e">
        <f>COUNTIFS(#REF!,'※(요약)확정현황'!B8,#REF!,"거부")</f>
        <v>#REF!</v>
      </c>
      <c r="F8" s="72" t="e">
        <f>COUNTIFS(#REF!,'※(요약)확정현황'!B8,#REF!,"거부-이관")</f>
        <v>#REF!</v>
      </c>
      <c r="G8" s="72" t="e">
        <f>COUNTIFS(#REF!,'※(요약)확정현황'!B8,#REF!,"거부-통폐합")</f>
        <v>#REF!</v>
      </c>
      <c r="H8" s="72" t="e">
        <f>COUNTIFS(#REF!,'※(요약)확정현황'!B8,#REF!,"")</f>
        <v>#REF!</v>
      </c>
      <c r="I8" s="72" t="e">
        <f t="shared" si="0"/>
        <v>#REF!</v>
      </c>
      <c r="J8" s="117" t="e">
        <f t="shared" si="3"/>
        <v>#REF!</v>
      </c>
      <c r="K8" s="117" t="e">
        <f t="shared" si="1"/>
        <v>#REF!</v>
      </c>
      <c r="M8" s="116" t="e">
        <f t="shared" si="2"/>
        <v>#REF!</v>
      </c>
      <c r="N8" s="116" t="e">
        <f t="shared" si="2"/>
        <v>#REF!</v>
      </c>
      <c r="O8" s="116" t="e">
        <f t="shared" si="2"/>
        <v>#REF!</v>
      </c>
      <c r="P8" s="116" t="e">
        <f t="shared" si="4"/>
        <v>#REF!</v>
      </c>
      <c r="Q8" s="116" t="e">
        <f t="shared" si="4"/>
        <v>#REF!</v>
      </c>
      <c r="R8" s="121" t="e">
        <f t="shared" si="4"/>
        <v>#REF!</v>
      </c>
      <c r="S8" s="121" t="e">
        <f t="shared" si="4"/>
        <v>#REF!</v>
      </c>
    </row>
    <row r="9" spans="2:19">
      <c r="B9" s="72" t="s">
        <v>577</v>
      </c>
      <c r="C9" s="72" t="e">
        <f>COUNTIFS(#REF!,'※(요약)확정현황'!B9,#REF!,"승인")</f>
        <v>#REF!</v>
      </c>
      <c r="D9" s="72" t="e">
        <f>COUNTIFS(#REF!,'※(요약)확정현황'!B9,#REF!,"조건부승인")</f>
        <v>#REF!</v>
      </c>
      <c r="E9" s="72" t="e">
        <f>COUNTIFS(#REF!,'※(요약)확정현황'!B9,#REF!,"거부")</f>
        <v>#REF!</v>
      </c>
      <c r="F9" s="72" t="e">
        <f>COUNTIFS(#REF!,'※(요약)확정현황'!B9,#REF!,"거부-이관")</f>
        <v>#REF!</v>
      </c>
      <c r="G9" s="72" t="e">
        <f>COUNTIFS(#REF!,'※(요약)확정현황'!B9,#REF!,"거부-통폐합")</f>
        <v>#REF!</v>
      </c>
      <c r="H9" s="72" t="e">
        <f>COUNTIFS(#REF!,'※(요약)확정현황'!B9,#REF!,"")</f>
        <v>#REF!</v>
      </c>
      <c r="I9" s="72" t="e">
        <f t="shared" si="0"/>
        <v>#REF!</v>
      </c>
      <c r="J9" s="117" t="e">
        <f t="shared" si="3"/>
        <v>#REF!</v>
      </c>
      <c r="K9" s="117" t="e">
        <f t="shared" si="1"/>
        <v>#REF!</v>
      </c>
      <c r="M9" s="116" t="e">
        <f t="shared" si="2"/>
        <v>#REF!</v>
      </c>
      <c r="N9" s="116" t="e">
        <f t="shared" si="2"/>
        <v>#REF!</v>
      </c>
      <c r="O9" s="116" t="e">
        <f t="shared" si="2"/>
        <v>#REF!</v>
      </c>
      <c r="P9" s="116" t="e">
        <f t="shared" si="4"/>
        <v>#REF!</v>
      </c>
      <c r="Q9" s="116" t="e">
        <f t="shared" si="4"/>
        <v>#REF!</v>
      </c>
      <c r="R9" s="121" t="e">
        <f t="shared" si="4"/>
        <v>#REF!</v>
      </c>
      <c r="S9" s="121" t="e">
        <f t="shared" si="4"/>
        <v>#REF!</v>
      </c>
    </row>
    <row r="10" spans="2:19">
      <c r="B10" s="72" t="s">
        <v>793</v>
      </c>
      <c r="C10" s="72" t="e">
        <f>COUNTIFS(#REF!,'※(요약)확정현황'!B10,#REF!,"승인")</f>
        <v>#REF!</v>
      </c>
      <c r="D10" s="72" t="e">
        <f>COUNTIFS(#REF!,'※(요약)확정현황'!B10,#REF!,"조건부승인")</f>
        <v>#REF!</v>
      </c>
      <c r="E10" s="72" t="e">
        <f>COUNTIFS(#REF!,'※(요약)확정현황'!B10,#REF!,"거부")</f>
        <v>#REF!</v>
      </c>
      <c r="F10" s="72" t="e">
        <f>COUNTIFS(#REF!,'※(요약)확정현황'!B10,#REF!,"거부-이관")</f>
        <v>#REF!</v>
      </c>
      <c r="G10" s="72" t="e">
        <f>COUNTIFS(#REF!,'※(요약)확정현황'!B10,#REF!,"거부-통폐합")</f>
        <v>#REF!</v>
      </c>
      <c r="H10" s="72" t="e">
        <f>COUNTIFS(#REF!,'※(요약)확정현황'!B10,#REF!,"")</f>
        <v>#REF!</v>
      </c>
      <c r="I10" s="72" t="e">
        <f t="shared" si="0"/>
        <v>#REF!</v>
      </c>
      <c r="J10" s="117" t="e">
        <f t="shared" si="3"/>
        <v>#REF!</v>
      </c>
      <c r="K10" s="117" t="e">
        <f t="shared" si="1"/>
        <v>#REF!</v>
      </c>
      <c r="M10" s="116"/>
      <c r="N10" s="116"/>
      <c r="O10" s="116"/>
      <c r="P10" s="116"/>
      <c r="Q10" s="116"/>
      <c r="R10" s="121"/>
      <c r="S10" s="121"/>
    </row>
    <row r="11" spans="2:19" ht="16.5">
      <c r="B11" s="118" t="s">
        <v>15</v>
      </c>
      <c r="C11" s="119" t="e">
        <f t="shared" ref="C11:I11" si="5">SUM(C5:C10)</f>
        <v>#REF!</v>
      </c>
      <c r="D11" s="119" t="e">
        <f t="shared" si="5"/>
        <v>#REF!</v>
      </c>
      <c r="E11" s="119" t="e">
        <f t="shared" si="5"/>
        <v>#REF!</v>
      </c>
      <c r="F11" s="119" t="e">
        <f t="shared" si="5"/>
        <v>#REF!</v>
      </c>
      <c r="G11" s="119" t="e">
        <f t="shared" si="5"/>
        <v>#REF!</v>
      </c>
      <c r="H11" s="119" t="e">
        <f t="shared" si="5"/>
        <v>#REF!</v>
      </c>
      <c r="I11" s="119" t="e">
        <f t="shared" si="5"/>
        <v>#REF!</v>
      </c>
      <c r="J11" s="192" t="e">
        <f t="shared" si="3"/>
        <v>#REF!</v>
      </c>
      <c r="K11" s="192" t="e">
        <f t="shared" si="1"/>
        <v>#REF!</v>
      </c>
      <c r="M11" s="122" t="e">
        <f>SUM(M5:M9)</f>
        <v>#REF!</v>
      </c>
      <c r="N11" s="122" t="e">
        <f>SUM(N5:N9)</f>
        <v>#REF!</v>
      </c>
      <c r="O11" s="122" t="e">
        <f>SUM(O5:O9)</f>
        <v>#REF!</v>
      </c>
      <c r="P11" s="122" t="e">
        <f>SUM(P5:P9)</f>
        <v>#REF!</v>
      </c>
      <c r="Q11" s="122" t="e">
        <f>SUM(Q5:Q9)</f>
        <v>#REF!</v>
      </c>
      <c r="R11" s="123" t="e">
        <f>J11-J21</f>
        <v>#REF!</v>
      </c>
      <c r="S11" s="123" t="e">
        <f>K11-K21</f>
        <v>#REF!</v>
      </c>
    </row>
    <row r="12" spans="2:19" ht="9.75" customHeight="1"/>
    <row r="13" spans="2:19" hidden="1">
      <c r="B13" s="113" t="s">
        <v>726</v>
      </c>
      <c r="C13" s="105"/>
      <c r="D13" s="105"/>
      <c r="E13" s="105"/>
      <c r="F13" s="105"/>
      <c r="G13" s="105"/>
      <c r="H13" s="105"/>
      <c r="I13" s="105"/>
      <c r="J13" s="104"/>
      <c r="K13" s="189" t="s">
        <v>728</v>
      </c>
    </row>
    <row r="14" spans="2:19" ht="13.5" hidden="1" customHeight="1">
      <c r="B14" s="114" t="s">
        <v>27</v>
      </c>
      <c r="C14" s="359" t="s">
        <v>583</v>
      </c>
      <c r="D14" s="360"/>
      <c r="E14" s="360"/>
      <c r="F14" s="360"/>
      <c r="G14" s="360"/>
      <c r="H14" s="361"/>
      <c r="I14" s="362" t="s">
        <v>800</v>
      </c>
      <c r="J14" s="364" t="s">
        <v>801</v>
      </c>
      <c r="K14" s="364" t="s">
        <v>778</v>
      </c>
    </row>
    <row r="15" spans="2:19" ht="36" hidden="1">
      <c r="B15" s="114" t="s">
        <v>28</v>
      </c>
      <c r="C15" s="115" t="s">
        <v>591</v>
      </c>
      <c r="D15" s="115" t="s">
        <v>587</v>
      </c>
      <c r="E15" s="115" t="s">
        <v>590</v>
      </c>
      <c r="F15" s="209" t="s">
        <v>799</v>
      </c>
      <c r="G15" s="211"/>
      <c r="H15" s="115" t="s">
        <v>589</v>
      </c>
      <c r="I15" s="363"/>
      <c r="J15" s="364"/>
      <c r="K15" s="364"/>
    </row>
    <row r="16" spans="2:19" hidden="1">
      <c r="B16" s="72" t="s">
        <v>516</v>
      </c>
      <c r="C16" s="72">
        <v>72</v>
      </c>
      <c r="D16" s="72">
        <v>33</v>
      </c>
      <c r="E16" s="72">
        <v>28</v>
      </c>
      <c r="F16" s="72">
        <v>0</v>
      </c>
      <c r="G16" s="72"/>
      <c r="H16" s="72">
        <v>71</v>
      </c>
      <c r="I16" s="72">
        <v>201</v>
      </c>
      <c r="J16" s="117">
        <v>0.65</v>
      </c>
      <c r="K16" s="117">
        <v>0.51</v>
      </c>
    </row>
    <row r="17" spans="2:11" hidden="1">
      <c r="B17" s="72" t="s">
        <v>523</v>
      </c>
      <c r="C17" s="72">
        <v>4</v>
      </c>
      <c r="D17" s="72">
        <v>0</v>
      </c>
      <c r="E17" s="72">
        <v>0</v>
      </c>
      <c r="F17" s="72">
        <v>0</v>
      </c>
      <c r="G17" s="72"/>
      <c r="H17" s="72">
        <v>1</v>
      </c>
      <c r="I17" s="72">
        <v>5</v>
      </c>
      <c r="J17" s="117">
        <v>0.8</v>
      </c>
      <c r="K17" s="117">
        <v>0.8</v>
      </c>
    </row>
    <row r="18" spans="2:11" hidden="1">
      <c r="B18" s="72" t="s">
        <v>538</v>
      </c>
      <c r="C18" s="72">
        <v>0</v>
      </c>
      <c r="D18" s="72">
        <v>0</v>
      </c>
      <c r="E18" s="72">
        <v>0</v>
      </c>
      <c r="F18" s="72">
        <v>0</v>
      </c>
      <c r="G18" s="72"/>
      <c r="H18" s="72">
        <v>1</v>
      </c>
      <c r="I18" s="72">
        <v>1</v>
      </c>
      <c r="J18" s="117">
        <v>0</v>
      </c>
      <c r="K18" s="117">
        <v>0</v>
      </c>
    </row>
    <row r="19" spans="2:11" hidden="1">
      <c r="B19" s="72" t="s">
        <v>534</v>
      </c>
      <c r="C19" s="72">
        <v>4</v>
      </c>
      <c r="D19" s="72">
        <v>0</v>
      </c>
      <c r="E19" s="72">
        <v>0</v>
      </c>
      <c r="F19" s="72">
        <v>0</v>
      </c>
      <c r="G19" s="72"/>
      <c r="H19" s="72">
        <v>0</v>
      </c>
      <c r="I19" s="72">
        <v>4</v>
      </c>
      <c r="J19" s="117">
        <v>1</v>
      </c>
      <c r="K19" s="117">
        <v>1</v>
      </c>
    </row>
    <row r="20" spans="2:11" hidden="1">
      <c r="B20" s="72" t="s">
        <v>577</v>
      </c>
      <c r="C20" s="72">
        <v>26</v>
      </c>
      <c r="D20" s="72">
        <v>2</v>
      </c>
      <c r="E20" s="72">
        <v>0</v>
      </c>
      <c r="F20" s="72">
        <v>0</v>
      </c>
      <c r="G20" s="72"/>
      <c r="H20" s="72">
        <v>1</v>
      </c>
      <c r="I20" s="72">
        <v>29</v>
      </c>
      <c r="J20" s="117">
        <v>0.97</v>
      </c>
      <c r="K20" s="117">
        <v>0.97</v>
      </c>
    </row>
    <row r="21" spans="2:11" hidden="1">
      <c r="B21" s="118" t="s">
        <v>15</v>
      </c>
      <c r="C21" s="119">
        <v>106</v>
      </c>
      <c r="D21" s="119">
        <v>35</v>
      </c>
      <c r="E21" s="119">
        <v>28</v>
      </c>
      <c r="F21" s="119">
        <v>0</v>
      </c>
      <c r="G21" s="119"/>
      <c r="H21" s="119">
        <v>74</v>
      </c>
      <c r="I21" s="119">
        <v>240</v>
      </c>
      <c r="J21" s="120">
        <v>0.7</v>
      </c>
      <c r="K21" s="120">
        <v>0.57999999999999996</v>
      </c>
    </row>
    <row r="22" spans="2:11" hidden="1"/>
    <row r="23" spans="2:11" hidden="1"/>
    <row r="24" spans="2:11" hidden="1"/>
    <row r="25" spans="2:11" hidden="1"/>
    <row r="26" spans="2:11" hidden="1"/>
    <row r="27" spans="2:11" hidden="1"/>
    <row r="28" spans="2:11" hidden="1"/>
  </sheetData>
  <mergeCells count="12">
    <mergeCell ref="C3:H3"/>
    <mergeCell ref="I3:I4"/>
    <mergeCell ref="J3:J4"/>
    <mergeCell ref="K3:K4"/>
    <mergeCell ref="C14:H14"/>
    <mergeCell ref="I14:I15"/>
    <mergeCell ref="M3:P3"/>
    <mergeCell ref="Q3:Q4"/>
    <mergeCell ref="R3:R4"/>
    <mergeCell ref="S3:S4"/>
    <mergeCell ref="J14:J15"/>
    <mergeCell ref="K14:K15"/>
  </mergeCells>
  <phoneticPr fontId="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8"/>
  <sheetViews>
    <sheetView workbookViewId="0">
      <selection activeCell="L20" sqref="L20"/>
    </sheetView>
  </sheetViews>
  <sheetFormatPr defaultRowHeight="13.5"/>
  <cols>
    <col min="1" max="1" width="2.33203125" style="55" customWidth="1"/>
    <col min="2" max="2" width="11.44140625" style="55" customWidth="1"/>
    <col min="3" max="3" width="10.44140625" style="55" customWidth="1"/>
    <col min="4" max="4" width="12.33203125" style="55" bestFit="1" customWidth="1"/>
    <col min="5" max="5" width="15.77734375" style="55" customWidth="1"/>
    <col min="6" max="6" width="54.21875" style="55" bestFit="1" customWidth="1"/>
    <col min="7" max="7" width="5" style="55" customWidth="1"/>
    <col min="8" max="8" width="11.77734375" style="55" customWidth="1"/>
    <col min="9" max="16384" width="8.88671875" style="55"/>
  </cols>
  <sheetData>
    <row r="1" spans="2:8" ht="42" customHeight="1">
      <c r="B1" s="365" t="s">
        <v>136</v>
      </c>
      <c r="C1" s="365"/>
      <c r="D1" s="365"/>
      <c r="E1" s="365"/>
      <c r="F1" s="365"/>
    </row>
    <row r="2" spans="2:8" s="57" customFormat="1">
      <c r="B2" s="56" t="s">
        <v>46</v>
      </c>
      <c r="C2" s="56" t="s">
        <v>47</v>
      </c>
      <c r="D2" s="56" t="s">
        <v>48</v>
      </c>
      <c r="E2" s="56" t="s">
        <v>49</v>
      </c>
      <c r="F2" s="56" t="s">
        <v>50</v>
      </c>
      <c r="H2" s="56" t="s">
        <v>137</v>
      </c>
    </row>
    <row r="3" spans="2:8" s="62" customFormat="1">
      <c r="B3" s="58" t="s">
        <v>51</v>
      </c>
      <c r="C3" s="59" t="s">
        <v>52</v>
      </c>
      <c r="D3" s="59" t="s">
        <v>53</v>
      </c>
      <c r="E3" s="60" t="s">
        <v>54</v>
      </c>
      <c r="F3" s="61" t="s">
        <v>55</v>
      </c>
      <c r="H3" s="58" t="s">
        <v>51</v>
      </c>
    </row>
    <row r="4" spans="2:8" s="62" customFormat="1">
      <c r="B4" s="58" t="s">
        <v>56</v>
      </c>
      <c r="C4" s="59" t="s">
        <v>52</v>
      </c>
      <c r="D4" s="59" t="s">
        <v>52</v>
      </c>
      <c r="E4" s="60" t="s">
        <v>57</v>
      </c>
      <c r="F4" s="63"/>
      <c r="H4" s="58" t="s">
        <v>56</v>
      </c>
    </row>
    <row r="5" spans="2:8">
      <c r="B5" s="64" t="s">
        <v>58</v>
      </c>
      <c r="C5" s="61" t="s">
        <v>59</v>
      </c>
      <c r="D5" s="61" t="s">
        <v>60</v>
      </c>
      <c r="E5" s="61" t="s">
        <v>61</v>
      </c>
      <c r="F5" s="61"/>
      <c r="H5" s="64" t="s">
        <v>58</v>
      </c>
    </row>
    <row r="6" spans="2:8">
      <c r="B6" s="64" t="s">
        <v>59</v>
      </c>
      <c r="C6" s="61"/>
      <c r="D6" s="61" t="s">
        <v>62</v>
      </c>
      <c r="E6" s="61" t="s">
        <v>63</v>
      </c>
      <c r="F6" s="61"/>
      <c r="H6" s="65" t="s">
        <v>75</v>
      </c>
    </row>
    <row r="7" spans="2:8">
      <c r="B7" s="64" t="s">
        <v>59</v>
      </c>
      <c r="C7" s="61"/>
      <c r="D7" s="61" t="s">
        <v>64</v>
      </c>
      <c r="E7" s="61" t="s">
        <v>65</v>
      </c>
      <c r="F7" s="61"/>
      <c r="H7" s="67" t="s">
        <v>88</v>
      </c>
    </row>
    <row r="8" spans="2:8">
      <c r="B8" s="64" t="s">
        <v>66</v>
      </c>
      <c r="C8" s="61"/>
      <c r="D8" s="61" t="s">
        <v>67</v>
      </c>
      <c r="E8" s="61" t="s">
        <v>68</v>
      </c>
      <c r="F8" s="61"/>
      <c r="H8" s="68" t="s">
        <v>91</v>
      </c>
    </row>
    <row r="9" spans="2:8">
      <c r="B9" s="64" t="s">
        <v>59</v>
      </c>
      <c r="C9" s="61"/>
      <c r="D9" s="61" t="s">
        <v>69</v>
      </c>
      <c r="E9" s="61" t="s">
        <v>70</v>
      </c>
      <c r="F9" s="61"/>
      <c r="H9" s="69" t="s">
        <v>127</v>
      </c>
    </row>
    <row r="10" spans="2:8">
      <c r="B10" s="64" t="s">
        <v>59</v>
      </c>
      <c r="C10" s="61"/>
      <c r="D10" s="61" t="s">
        <v>71</v>
      </c>
      <c r="E10" s="61" t="s">
        <v>72</v>
      </c>
      <c r="F10" s="61"/>
    </row>
    <row r="11" spans="2:8">
      <c r="B11" s="64" t="s">
        <v>59</v>
      </c>
      <c r="C11" s="61"/>
      <c r="D11" s="61" t="s">
        <v>73</v>
      </c>
      <c r="E11" s="61" t="s">
        <v>74</v>
      </c>
      <c r="F11" s="61"/>
    </row>
    <row r="12" spans="2:8">
      <c r="B12" s="65" t="s">
        <v>75</v>
      </c>
      <c r="C12" s="61" t="s">
        <v>76</v>
      </c>
      <c r="D12" s="66" t="s">
        <v>52</v>
      </c>
      <c r="E12" s="61" t="s">
        <v>77</v>
      </c>
      <c r="F12" s="61"/>
    </row>
    <row r="13" spans="2:8">
      <c r="B13" s="65" t="s">
        <v>78</v>
      </c>
      <c r="C13" s="61" t="s">
        <v>79</v>
      </c>
      <c r="D13" s="66" t="s">
        <v>52</v>
      </c>
      <c r="E13" s="61" t="s">
        <v>80</v>
      </c>
      <c r="F13" s="61"/>
    </row>
    <row r="14" spans="2:8">
      <c r="B14" s="64" t="s">
        <v>59</v>
      </c>
      <c r="C14" s="61" t="s">
        <v>81</v>
      </c>
      <c r="D14" s="66" t="s">
        <v>52</v>
      </c>
      <c r="E14" s="61" t="s">
        <v>82</v>
      </c>
      <c r="F14" s="61"/>
    </row>
    <row r="15" spans="2:8">
      <c r="B15" s="64" t="s">
        <v>59</v>
      </c>
      <c r="C15" s="61" t="s">
        <v>83</v>
      </c>
      <c r="D15" s="66" t="s">
        <v>84</v>
      </c>
      <c r="E15" s="61" t="s">
        <v>85</v>
      </c>
      <c r="F15" s="61"/>
    </row>
    <row r="16" spans="2:8">
      <c r="B16" s="65" t="s">
        <v>78</v>
      </c>
      <c r="C16" s="61" t="s">
        <v>86</v>
      </c>
      <c r="D16" s="66" t="s">
        <v>52</v>
      </c>
      <c r="E16" s="61" t="s">
        <v>87</v>
      </c>
      <c r="F16" s="61"/>
    </row>
    <row r="17" spans="2:6">
      <c r="B17" s="67" t="s">
        <v>88</v>
      </c>
      <c r="C17" s="61" t="s">
        <v>89</v>
      </c>
      <c r="D17" s="66" t="s">
        <v>52</v>
      </c>
      <c r="E17" s="61" t="s">
        <v>90</v>
      </c>
      <c r="F17" s="61"/>
    </row>
    <row r="18" spans="2:6">
      <c r="B18" s="68" t="s">
        <v>91</v>
      </c>
      <c r="C18" s="61" t="s">
        <v>92</v>
      </c>
      <c r="D18" s="66" t="s">
        <v>53</v>
      </c>
      <c r="E18" s="61" t="s">
        <v>93</v>
      </c>
      <c r="F18" s="61"/>
    </row>
    <row r="19" spans="2:6">
      <c r="B19" s="68" t="s">
        <v>91</v>
      </c>
      <c r="C19" s="61"/>
      <c r="D19" s="61" t="s">
        <v>94</v>
      </c>
      <c r="E19" s="61" t="s">
        <v>95</v>
      </c>
      <c r="F19" s="61"/>
    </row>
    <row r="20" spans="2:6">
      <c r="B20" s="67" t="s">
        <v>88</v>
      </c>
      <c r="C20" s="61" t="s">
        <v>96</v>
      </c>
      <c r="D20" s="61" t="s">
        <v>97</v>
      </c>
      <c r="E20" s="61" t="s">
        <v>98</v>
      </c>
      <c r="F20" s="61"/>
    </row>
    <row r="21" spans="2:6">
      <c r="B21" s="67" t="s">
        <v>88</v>
      </c>
      <c r="C21" s="61"/>
      <c r="D21" s="61" t="s">
        <v>99</v>
      </c>
      <c r="E21" s="61" t="s">
        <v>100</v>
      </c>
      <c r="F21" s="61"/>
    </row>
    <row r="22" spans="2:6">
      <c r="B22" s="67" t="s">
        <v>88</v>
      </c>
      <c r="C22" s="61"/>
      <c r="D22" s="61" t="s">
        <v>101</v>
      </c>
      <c r="E22" s="61" t="s">
        <v>102</v>
      </c>
      <c r="F22" s="61"/>
    </row>
    <row r="23" spans="2:6">
      <c r="B23" s="67" t="s">
        <v>88</v>
      </c>
      <c r="C23" s="61"/>
      <c r="D23" s="61" t="s">
        <v>103</v>
      </c>
      <c r="E23" s="61" t="s">
        <v>104</v>
      </c>
      <c r="F23" s="61"/>
    </row>
    <row r="24" spans="2:6">
      <c r="B24" s="67" t="s">
        <v>88</v>
      </c>
      <c r="C24" s="61"/>
      <c r="D24" s="61" t="s">
        <v>105</v>
      </c>
      <c r="E24" s="61" t="s">
        <v>106</v>
      </c>
      <c r="F24" s="61"/>
    </row>
    <row r="25" spans="2:6">
      <c r="B25" s="67" t="s">
        <v>88</v>
      </c>
      <c r="C25" s="61"/>
      <c r="D25" s="61" t="s">
        <v>107</v>
      </c>
      <c r="E25" s="61" t="s">
        <v>108</v>
      </c>
      <c r="F25" s="61"/>
    </row>
    <row r="26" spans="2:6">
      <c r="B26" s="67" t="s">
        <v>88</v>
      </c>
      <c r="C26" s="61"/>
      <c r="D26" s="61" t="s">
        <v>109</v>
      </c>
      <c r="E26" s="61" t="s">
        <v>110</v>
      </c>
      <c r="F26" s="61"/>
    </row>
    <row r="27" spans="2:6">
      <c r="B27" s="67" t="s">
        <v>88</v>
      </c>
      <c r="C27" s="61"/>
      <c r="D27" s="61" t="s">
        <v>111</v>
      </c>
      <c r="E27" s="61" t="s">
        <v>112</v>
      </c>
      <c r="F27" s="61"/>
    </row>
    <row r="28" spans="2:6">
      <c r="B28" s="67" t="s">
        <v>88</v>
      </c>
      <c r="C28" s="61"/>
      <c r="D28" s="61" t="s">
        <v>113</v>
      </c>
      <c r="E28" s="61" t="s">
        <v>114</v>
      </c>
      <c r="F28" s="61"/>
    </row>
    <row r="29" spans="2:6">
      <c r="B29" s="67" t="s">
        <v>88</v>
      </c>
      <c r="C29" s="61"/>
      <c r="D29" s="61" t="s">
        <v>115</v>
      </c>
      <c r="E29" s="61" t="s">
        <v>116</v>
      </c>
      <c r="F29" s="61"/>
    </row>
    <row r="30" spans="2:6">
      <c r="B30" s="64" t="s">
        <v>66</v>
      </c>
      <c r="C30" s="61" t="s">
        <v>117</v>
      </c>
      <c r="D30" s="61"/>
      <c r="E30" s="61" t="s">
        <v>118</v>
      </c>
      <c r="F30" s="61"/>
    </row>
    <row r="31" spans="2:6">
      <c r="B31" s="64" t="s">
        <v>59</v>
      </c>
      <c r="C31" s="61" t="s">
        <v>119</v>
      </c>
      <c r="D31" s="61"/>
      <c r="E31" s="61" t="s">
        <v>120</v>
      </c>
      <c r="F31" s="61"/>
    </row>
    <row r="32" spans="2:6">
      <c r="B32" s="64" t="s">
        <v>59</v>
      </c>
      <c r="C32" s="61" t="s">
        <v>121</v>
      </c>
      <c r="D32" s="61"/>
      <c r="E32" s="61" t="s">
        <v>122</v>
      </c>
      <c r="F32" s="61"/>
    </row>
    <row r="33" spans="2:6">
      <c r="B33" s="64" t="s">
        <v>66</v>
      </c>
      <c r="C33" s="61" t="s">
        <v>123</v>
      </c>
      <c r="D33" s="61"/>
      <c r="E33" s="61" t="s">
        <v>124</v>
      </c>
      <c r="F33" s="61"/>
    </row>
    <row r="34" spans="2:6">
      <c r="B34" s="64" t="s">
        <v>59</v>
      </c>
      <c r="C34" s="61" t="s">
        <v>125</v>
      </c>
      <c r="D34" s="61"/>
      <c r="E34" s="61" t="s">
        <v>126</v>
      </c>
      <c r="F34" s="61"/>
    </row>
    <row r="35" spans="2:6">
      <c r="B35" s="69" t="s">
        <v>127</v>
      </c>
      <c r="C35" s="61" t="s">
        <v>128</v>
      </c>
      <c r="D35" s="61"/>
      <c r="E35" s="61" t="s">
        <v>129</v>
      </c>
      <c r="F35" s="61"/>
    </row>
    <row r="36" spans="2:6">
      <c r="B36" s="69" t="s">
        <v>127</v>
      </c>
      <c r="C36" s="61" t="s">
        <v>130</v>
      </c>
      <c r="D36" s="61"/>
      <c r="E36" s="61" t="s">
        <v>131</v>
      </c>
      <c r="F36" s="61"/>
    </row>
    <row r="37" spans="2:6">
      <c r="B37" s="69" t="s">
        <v>127</v>
      </c>
      <c r="C37" s="61" t="s">
        <v>132</v>
      </c>
      <c r="D37" s="61"/>
      <c r="E37" s="61" t="s">
        <v>133</v>
      </c>
      <c r="F37" s="61"/>
    </row>
    <row r="38" spans="2:6">
      <c r="B38" s="69" t="s">
        <v>127</v>
      </c>
      <c r="C38" s="61" t="s">
        <v>134</v>
      </c>
      <c r="D38" s="61"/>
      <c r="E38" s="61" t="s">
        <v>135</v>
      </c>
      <c r="F38" s="61"/>
    </row>
  </sheetData>
  <mergeCells count="1">
    <mergeCell ref="B1:F1"/>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J287"/>
  <sheetViews>
    <sheetView zoomScale="80" zoomScaleNormal="80" workbookViewId="0">
      <selection activeCell="G316" sqref="G316"/>
    </sheetView>
  </sheetViews>
  <sheetFormatPr defaultRowHeight="13.5"/>
  <cols>
    <col min="14" max="14" width="17" customWidth="1"/>
    <col min="18" max="35" width="0" hidden="1" customWidth="1"/>
    <col min="36" max="36" width="40.109375" customWidth="1"/>
  </cols>
  <sheetData>
    <row r="1" spans="1:36" ht="20.25" customHeight="1">
      <c r="A1" s="44" t="s">
        <v>873</v>
      </c>
      <c r="B1" s="44" t="s">
        <v>874</v>
      </c>
      <c r="C1" s="44" t="s">
        <v>875</v>
      </c>
      <c r="D1" s="44" t="s">
        <v>876</v>
      </c>
      <c r="E1" s="44" t="s">
        <v>877</v>
      </c>
      <c r="F1" s="45" t="s">
        <v>878</v>
      </c>
      <c r="G1" s="44" t="s">
        <v>13</v>
      </c>
      <c r="H1" s="44" t="s">
        <v>14</v>
      </c>
      <c r="I1" s="44" t="s">
        <v>879</v>
      </c>
      <c r="J1" s="44" t="s">
        <v>880</v>
      </c>
      <c r="K1" s="44" t="s">
        <v>881</v>
      </c>
      <c r="L1" s="44" t="s">
        <v>882</v>
      </c>
      <c r="M1" s="44" t="s">
        <v>883</v>
      </c>
      <c r="N1" s="254" t="s">
        <v>884</v>
      </c>
      <c r="O1" s="44" t="s">
        <v>885</v>
      </c>
      <c r="P1" s="44" t="s">
        <v>886</v>
      </c>
      <c r="Q1" s="47" t="s">
        <v>887</v>
      </c>
      <c r="R1" s="106" t="s">
        <v>888</v>
      </c>
      <c r="S1" s="106" t="s">
        <v>889</v>
      </c>
      <c r="T1" s="172" t="s">
        <v>890</v>
      </c>
      <c r="U1" s="173" t="s">
        <v>891</v>
      </c>
      <c r="V1" s="173" t="s">
        <v>892</v>
      </c>
      <c r="W1" s="173" t="s">
        <v>893</v>
      </c>
      <c r="X1" s="171" t="s">
        <v>894</v>
      </c>
      <c r="Y1" s="171" t="s">
        <v>895</v>
      </c>
      <c r="Z1" s="174" t="s">
        <v>896</v>
      </c>
      <c r="AA1" s="190" t="s">
        <v>897</v>
      </c>
      <c r="AB1" s="191" t="s">
        <v>898</v>
      </c>
      <c r="AC1" s="150"/>
      <c r="AD1" s="150"/>
      <c r="AE1" s="150"/>
      <c r="AF1" s="150"/>
      <c r="AG1" s="150"/>
      <c r="AH1" s="255" t="s">
        <v>899</v>
      </c>
      <c r="AI1" s="256" t="s">
        <v>900</v>
      </c>
      <c r="AJ1" s="257" t="s">
        <v>901</v>
      </c>
    </row>
    <row r="2" spans="1:36" ht="12" hidden="1" customHeight="1">
      <c r="A2" s="97" t="s">
        <v>157</v>
      </c>
      <c r="B2" s="76" t="s">
        <v>902</v>
      </c>
      <c r="C2" s="81" t="s">
        <v>16</v>
      </c>
      <c r="D2" s="81" t="s">
        <v>45</v>
      </c>
      <c r="E2" s="81" t="s">
        <v>18</v>
      </c>
      <c r="F2" s="95" t="s">
        <v>42</v>
      </c>
      <c r="G2" s="81" t="s">
        <v>336</v>
      </c>
      <c r="H2" s="74" t="s">
        <v>903</v>
      </c>
      <c r="I2" s="87" t="s">
        <v>904</v>
      </c>
      <c r="J2" s="49"/>
      <c r="K2" s="95" t="s">
        <v>507</v>
      </c>
      <c r="L2" s="38" t="s">
        <v>905</v>
      </c>
      <c r="M2" s="258" t="s">
        <v>43</v>
      </c>
      <c r="N2" s="259"/>
      <c r="O2" s="155"/>
      <c r="P2" s="155"/>
      <c r="Q2" s="78" t="s">
        <v>906</v>
      </c>
      <c r="R2" s="81" t="s">
        <v>907</v>
      </c>
      <c r="S2" s="81" t="s">
        <v>908</v>
      </c>
      <c r="T2" s="124" t="s">
        <v>518</v>
      </c>
      <c r="U2" s="156" t="s">
        <v>518</v>
      </c>
      <c r="V2" s="157"/>
      <c r="W2" s="99"/>
      <c r="X2" s="97" t="s">
        <v>909</v>
      </c>
      <c r="Y2" s="97" t="s">
        <v>639</v>
      </c>
      <c r="Z2" s="169"/>
      <c r="AA2" s="177"/>
      <c r="AB2" s="178" t="s">
        <v>500</v>
      </c>
      <c r="AC2" s="158"/>
      <c r="AD2" s="158"/>
      <c r="AE2" s="158"/>
      <c r="AF2" s="158"/>
      <c r="AG2" s="158"/>
      <c r="AH2" s="260" t="s">
        <v>839</v>
      </c>
      <c r="AI2" s="157"/>
      <c r="AJ2" s="261"/>
    </row>
    <row r="3" spans="1:36" ht="12" hidden="1" customHeight="1">
      <c r="A3" s="97" t="s">
        <v>143</v>
      </c>
      <c r="B3" s="76" t="s">
        <v>270</v>
      </c>
      <c r="C3" s="81" t="s">
        <v>16</v>
      </c>
      <c r="D3" s="81" t="s">
        <v>45</v>
      </c>
      <c r="E3" s="81" t="s">
        <v>18</v>
      </c>
      <c r="F3" s="95" t="s">
        <v>42</v>
      </c>
      <c r="G3" s="81" t="s">
        <v>328</v>
      </c>
      <c r="H3" s="85" t="s">
        <v>910</v>
      </c>
      <c r="I3" s="87" t="s">
        <v>911</v>
      </c>
      <c r="J3" s="49"/>
      <c r="K3" s="95" t="s">
        <v>507</v>
      </c>
      <c r="L3" s="38" t="s">
        <v>905</v>
      </c>
      <c r="M3" s="258" t="s">
        <v>912</v>
      </c>
      <c r="N3" s="259"/>
      <c r="O3" s="155"/>
      <c r="P3" s="155"/>
      <c r="Q3" s="78" t="s">
        <v>913</v>
      </c>
      <c r="R3" s="81" t="s">
        <v>907</v>
      </c>
      <c r="S3" s="81" t="s">
        <v>908</v>
      </c>
      <c r="T3" s="124" t="s">
        <v>518</v>
      </c>
      <c r="U3" s="156" t="s">
        <v>518</v>
      </c>
      <c r="V3" s="159"/>
      <c r="W3" s="143"/>
      <c r="X3" s="97" t="s">
        <v>914</v>
      </c>
      <c r="Y3" s="97" t="s">
        <v>639</v>
      </c>
      <c r="Z3" s="169"/>
      <c r="AA3" s="179"/>
      <c r="AB3" s="178" t="s">
        <v>500</v>
      </c>
      <c r="AC3" s="151"/>
      <c r="AD3" s="151"/>
      <c r="AE3" s="151"/>
      <c r="AF3" s="151"/>
      <c r="AG3" s="151"/>
      <c r="AH3" s="260" t="s">
        <v>839</v>
      </c>
      <c r="AI3" s="159"/>
      <c r="AJ3" s="261"/>
    </row>
    <row r="4" spans="1:36" ht="12" hidden="1" customHeight="1">
      <c r="A4" s="97" t="s">
        <v>753</v>
      </c>
      <c r="B4" s="76" t="s">
        <v>731</v>
      </c>
      <c r="C4" s="81" t="s">
        <v>16</v>
      </c>
      <c r="D4" s="81" t="s">
        <v>45</v>
      </c>
      <c r="E4" s="81" t="s">
        <v>18</v>
      </c>
      <c r="F4" s="95" t="s">
        <v>42</v>
      </c>
      <c r="G4" s="81" t="s">
        <v>915</v>
      </c>
      <c r="H4" s="74" t="s">
        <v>732</v>
      </c>
      <c r="I4" s="87" t="s">
        <v>850</v>
      </c>
      <c r="J4" s="49"/>
      <c r="K4" s="95" t="s">
        <v>507</v>
      </c>
      <c r="L4" s="38" t="s">
        <v>517</v>
      </c>
      <c r="M4" s="258" t="s">
        <v>916</v>
      </c>
      <c r="N4" s="259"/>
      <c r="O4" s="155"/>
      <c r="P4" s="155"/>
      <c r="Q4" s="78" t="s">
        <v>917</v>
      </c>
      <c r="R4" s="81" t="s">
        <v>918</v>
      </c>
      <c r="S4" s="81" t="s">
        <v>730</v>
      </c>
      <c r="T4" s="124" t="s">
        <v>919</v>
      </c>
      <c r="U4" s="95" t="s">
        <v>595</v>
      </c>
      <c r="V4" s="95" t="s">
        <v>596</v>
      </c>
      <c r="W4" s="143"/>
      <c r="X4" s="97" t="s">
        <v>638</v>
      </c>
      <c r="Y4" s="97" t="s">
        <v>639</v>
      </c>
      <c r="Z4" s="174"/>
      <c r="AA4" s="180"/>
      <c r="AB4" s="178" t="s">
        <v>500</v>
      </c>
      <c r="AC4" s="151"/>
      <c r="AD4" s="151"/>
      <c r="AE4" s="151"/>
      <c r="AF4" s="151"/>
      <c r="AG4" s="151"/>
      <c r="AH4" s="260" t="s">
        <v>839</v>
      </c>
      <c r="AI4" s="159"/>
      <c r="AJ4" s="261"/>
    </row>
    <row r="5" spans="1:36" ht="12" hidden="1" customHeight="1">
      <c r="A5" s="97" t="s">
        <v>144</v>
      </c>
      <c r="B5" s="76" t="s">
        <v>920</v>
      </c>
      <c r="C5" s="81" t="s">
        <v>16</v>
      </c>
      <c r="D5" s="81" t="s">
        <v>45</v>
      </c>
      <c r="E5" s="81" t="s">
        <v>18</v>
      </c>
      <c r="F5" s="95" t="s">
        <v>42</v>
      </c>
      <c r="G5" s="81" t="s">
        <v>921</v>
      </c>
      <c r="H5" s="74" t="s">
        <v>733</v>
      </c>
      <c r="I5" s="87" t="s">
        <v>922</v>
      </c>
      <c r="J5" s="49"/>
      <c r="K5" s="95" t="s">
        <v>507</v>
      </c>
      <c r="L5" s="38" t="s">
        <v>517</v>
      </c>
      <c r="M5" s="258" t="s">
        <v>43</v>
      </c>
      <c r="N5" s="259"/>
      <c r="O5" s="155"/>
      <c r="P5" s="155"/>
      <c r="Q5" s="78" t="s">
        <v>856</v>
      </c>
      <c r="R5" s="81" t="s">
        <v>918</v>
      </c>
      <c r="S5" s="81" t="s">
        <v>923</v>
      </c>
      <c r="T5" s="124" t="s">
        <v>518</v>
      </c>
      <c r="U5" s="156" t="s">
        <v>518</v>
      </c>
      <c r="V5" s="159"/>
      <c r="W5" s="143"/>
      <c r="X5" s="97" t="s">
        <v>734</v>
      </c>
      <c r="Y5" s="97" t="s">
        <v>639</v>
      </c>
      <c r="Z5" s="169"/>
      <c r="AA5" s="179"/>
      <c r="AB5" s="178"/>
      <c r="AC5" s="151"/>
      <c r="AD5" s="151"/>
      <c r="AE5" s="151"/>
      <c r="AF5" s="151"/>
      <c r="AG5" s="151"/>
      <c r="AH5" s="260" t="s">
        <v>838</v>
      </c>
      <c r="AI5" s="159"/>
      <c r="AJ5" s="261"/>
    </row>
    <row r="6" spans="1:36" ht="12" hidden="1" customHeight="1">
      <c r="A6" s="97" t="s">
        <v>145</v>
      </c>
      <c r="B6" s="76" t="s">
        <v>735</v>
      </c>
      <c r="C6" s="81" t="s">
        <v>16</v>
      </c>
      <c r="D6" s="81" t="s">
        <v>45</v>
      </c>
      <c r="E6" s="81" t="s">
        <v>18</v>
      </c>
      <c r="F6" s="95" t="s">
        <v>42</v>
      </c>
      <c r="G6" s="81" t="s">
        <v>329</v>
      </c>
      <c r="H6" s="76" t="s">
        <v>736</v>
      </c>
      <c r="I6" s="87" t="s">
        <v>924</v>
      </c>
      <c r="J6" s="49"/>
      <c r="K6" s="95" t="s">
        <v>507</v>
      </c>
      <c r="L6" s="38" t="s">
        <v>517</v>
      </c>
      <c r="M6" s="258" t="s">
        <v>43</v>
      </c>
      <c r="N6" s="259"/>
      <c r="O6" s="155"/>
      <c r="P6" s="155"/>
      <c r="Q6" s="78" t="s">
        <v>925</v>
      </c>
      <c r="R6" s="81" t="s">
        <v>506</v>
      </c>
      <c r="S6" s="81" t="s">
        <v>923</v>
      </c>
      <c r="T6" s="124" t="s">
        <v>518</v>
      </c>
      <c r="U6" s="156" t="s">
        <v>518</v>
      </c>
      <c r="V6" s="159"/>
      <c r="W6" s="143"/>
      <c r="X6" s="97" t="s">
        <v>638</v>
      </c>
      <c r="Y6" s="97" t="s">
        <v>639</v>
      </c>
      <c r="Z6" s="169"/>
      <c r="AA6" s="179"/>
      <c r="AB6" s="178"/>
      <c r="AC6" s="151"/>
      <c r="AD6" s="151"/>
      <c r="AE6" s="151"/>
      <c r="AF6" s="151"/>
      <c r="AG6" s="151"/>
      <c r="AH6" s="260" t="s">
        <v>838</v>
      </c>
      <c r="AI6" s="159"/>
      <c r="AJ6" s="261"/>
    </row>
    <row r="7" spans="1:36" ht="12" hidden="1" customHeight="1">
      <c r="A7" s="97" t="s">
        <v>166</v>
      </c>
      <c r="B7" s="80" t="s">
        <v>737</v>
      </c>
      <c r="C7" s="81" t="s">
        <v>16</v>
      </c>
      <c r="D7" s="81" t="s">
        <v>45</v>
      </c>
      <c r="E7" s="81" t="s">
        <v>18</v>
      </c>
      <c r="F7" s="95" t="s">
        <v>42</v>
      </c>
      <c r="G7" s="81" t="s">
        <v>343</v>
      </c>
      <c r="H7" s="74" t="s">
        <v>926</v>
      </c>
      <c r="I7" s="87" t="s">
        <v>851</v>
      </c>
      <c r="J7" s="49"/>
      <c r="K7" s="95" t="s">
        <v>507</v>
      </c>
      <c r="L7" s="38" t="s">
        <v>517</v>
      </c>
      <c r="M7" s="258" t="s">
        <v>916</v>
      </c>
      <c r="N7" s="259"/>
      <c r="O7" s="155"/>
      <c r="P7" s="155"/>
      <c r="Q7" s="99" t="s">
        <v>917</v>
      </c>
      <c r="R7" s="81" t="s">
        <v>927</v>
      </c>
      <c r="S7" s="81" t="s">
        <v>682</v>
      </c>
      <c r="T7" s="124" t="s">
        <v>518</v>
      </c>
      <c r="U7" s="156" t="s">
        <v>518</v>
      </c>
      <c r="V7" s="159"/>
      <c r="W7" s="143"/>
      <c r="X7" s="97" t="s">
        <v>608</v>
      </c>
      <c r="Y7" s="97" t="s">
        <v>639</v>
      </c>
      <c r="Z7" s="169"/>
      <c r="AA7" s="180"/>
      <c r="AB7" s="178" t="s">
        <v>500</v>
      </c>
      <c r="AC7" s="151"/>
      <c r="AD7" s="151"/>
      <c r="AE7" s="151"/>
      <c r="AF7" s="151"/>
      <c r="AG7" s="151"/>
      <c r="AH7" s="260" t="s">
        <v>839</v>
      </c>
      <c r="AI7" s="159"/>
      <c r="AJ7" s="261"/>
    </row>
    <row r="8" spans="1:36" ht="12" hidden="1" customHeight="1">
      <c r="A8" s="97" t="s">
        <v>158</v>
      </c>
      <c r="B8" s="80" t="s">
        <v>928</v>
      </c>
      <c r="C8" s="81" t="s">
        <v>16</v>
      </c>
      <c r="D8" s="81" t="s">
        <v>45</v>
      </c>
      <c r="E8" s="81" t="s">
        <v>18</v>
      </c>
      <c r="F8" s="95" t="s">
        <v>41</v>
      </c>
      <c r="G8" s="81" t="s">
        <v>929</v>
      </c>
      <c r="H8" s="75" t="s">
        <v>738</v>
      </c>
      <c r="I8" s="90" t="s">
        <v>930</v>
      </c>
      <c r="J8" s="49"/>
      <c r="K8" s="95" t="s">
        <v>507</v>
      </c>
      <c r="L8" s="38" t="s">
        <v>517</v>
      </c>
      <c r="M8" s="258" t="s">
        <v>43</v>
      </c>
      <c r="N8" s="259"/>
      <c r="O8" s="155"/>
      <c r="P8" s="155"/>
      <c r="Q8" s="78" t="s">
        <v>925</v>
      </c>
      <c r="R8" s="81" t="s">
        <v>506</v>
      </c>
      <c r="S8" s="81" t="s">
        <v>730</v>
      </c>
      <c r="T8" s="124" t="s">
        <v>518</v>
      </c>
      <c r="U8" s="156" t="s">
        <v>518</v>
      </c>
      <c r="V8" s="159"/>
      <c r="W8" s="143"/>
      <c r="X8" s="97" t="s">
        <v>638</v>
      </c>
      <c r="Y8" s="97" t="s">
        <v>639</v>
      </c>
      <c r="Z8" s="169"/>
      <c r="AA8" s="179"/>
      <c r="AB8" s="178"/>
      <c r="AC8" s="151"/>
      <c r="AD8" s="151"/>
      <c r="AE8" s="151"/>
      <c r="AF8" s="151"/>
      <c r="AG8" s="151"/>
      <c r="AH8" s="260" t="s">
        <v>838</v>
      </c>
      <c r="AI8" s="159"/>
      <c r="AJ8" s="261"/>
    </row>
    <row r="9" spans="1:36" ht="12" hidden="1" customHeight="1">
      <c r="A9" s="175" t="s">
        <v>739</v>
      </c>
      <c r="B9" s="77" t="s">
        <v>322</v>
      </c>
      <c r="C9" s="82" t="s">
        <v>16</v>
      </c>
      <c r="D9" s="82" t="s">
        <v>45</v>
      </c>
      <c r="E9" s="82" t="s">
        <v>18</v>
      </c>
      <c r="F9" s="96" t="s">
        <v>42</v>
      </c>
      <c r="G9" s="82" t="s">
        <v>931</v>
      </c>
      <c r="H9" s="86" t="s">
        <v>932</v>
      </c>
      <c r="I9" s="87" t="s">
        <v>933</v>
      </c>
      <c r="J9" s="49"/>
      <c r="K9" s="95" t="s">
        <v>507</v>
      </c>
      <c r="L9" s="38" t="s">
        <v>934</v>
      </c>
      <c r="M9" s="258" t="s">
        <v>935</v>
      </c>
      <c r="N9" s="262" t="s">
        <v>936</v>
      </c>
      <c r="O9" s="155"/>
      <c r="P9" s="155"/>
      <c r="Q9" s="78" t="s">
        <v>937</v>
      </c>
      <c r="R9" s="81" t="s">
        <v>506</v>
      </c>
      <c r="S9" s="81" t="s">
        <v>938</v>
      </c>
      <c r="T9" s="124" t="s">
        <v>518</v>
      </c>
      <c r="U9" s="128"/>
      <c r="V9" s="126"/>
      <c r="W9" s="143"/>
      <c r="X9" s="97" t="s">
        <v>609</v>
      </c>
      <c r="Y9" s="97" t="s">
        <v>666</v>
      </c>
      <c r="Z9" s="169"/>
      <c r="AA9" s="181"/>
      <c r="AB9" s="178"/>
      <c r="AC9" s="151"/>
      <c r="AD9" s="151"/>
      <c r="AE9" s="151"/>
      <c r="AF9" s="151"/>
      <c r="AG9" s="151"/>
      <c r="AH9" s="260" t="s">
        <v>838</v>
      </c>
      <c r="AI9" s="159"/>
      <c r="AJ9" s="263">
        <v>44320</v>
      </c>
    </row>
    <row r="10" spans="1:36" ht="12" hidden="1" customHeight="1">
      <c r="A10" s="170" t="s">
        <v>740</v>
      </c>
      <c r="B10" s="223" t="s">
        <v>741</v>
      </c>
      <c r="C10" s="83" t="s">
        <v>16</v>
      </c>
      <c r="D10" s="83" t="s">
        <v>45</v>
      </c>
      <c r="E10" s="83" t="s">
        <v>19</v>
      </c>
      <c r="F10" s="170" t="s">
        <v>939</v>
      </c>
      <c r="G10" s="83" t="s">
        <v>342</v>
      </c>
      <c r="H10" s="224" t="s">
        <v>940</v>
      </c>
      <c r="I10" s="92" t="s">
        <v>742</v>
      </c>
      <c r="J10" s="49"/>
      <c r="K10" s="170" t="s">
        <v>507</v>
      </c>
      <c r="L10" s="48" t="s">
        <v>517</v>
      </c>
      <c r="M10" s="264" t="s">
        <v>44</v>
      </c>
      <c r="N10" s="265" t="s">
        <v>941</v>
      </c>
      <c r="O10" s="155"/>
      <c r="P10" s="155"/>
      <c r="Q10" s="225" t="s">
        <v>857</v>
      </c>
      <c r="R10" s="83" t="s">
        <v>506</v>
      </c>
      <c r="S10" s="83" t="s">
        <v>62</v>
      </c>
      <c r="T10" s="124" t="s">
        <v>518</v>
      </c>
      <c r="U10" s="156" t="s">
        <v>518</v>
      </c>
      <c r="V10" s="159"/>
      <c r="W10" s="143"/>
      <c r="X10" s="97" t="s">
        <v>743</v>
      </c>
      <c r="Y10" s="97" t="s">
        <v>641</v>
      </c>
      <c r="Z10" s="169"/>
      <c r="AA10" s="180"/>
      <c r="AB10" s="178"/>
      <c r="AC10" s="151"/>
      <c r="AD10" s="151"/>
      <c r="AE10" s="151"/>
      <c r="AF10" s="151"/>
      <c r="AG10" s="151"/>
      <c r="AH10" s="260" t="s">
        <v>838</v>
      </c>
      <c r="AI10" s="159" t="s">
        <v>942</v>
      </c>
      <c r="AJ10" s="261"/>
    </row>
    <row r="11" spans="1:36" ht="12" hidden="1" customHeight="1">
      <c r="A11" s="97" t="s">
        <v>168</v>
      </c>
      <c r="B11" s="76" t="s">
        <v>280</v>
      </c>
      <c r="C11" s="81" t="s">
        <v>16</v>
      </c>
      <c r="D11" s="81" t="s">
        <v>45</v>
      </c>
      <c r="E11" s="81" t="s">
        <v>18</v>
      </c>
      <c r="F11" s="95" t="s">
        <v>42</v>
      </c>
      <c r="G11" s="81" t="s">
        <v>345</v>
      </c>
      <c r="H11" s="74" t="s">
        <v>744</v>
      </c>
      <c r="I11" s="91" t="s">
        <v>943</v>
      </c>
      <c r="J11" s="49"/>
      <c r="K11" s="95" t="s">
        <v>507</v>
      </c>
      <c r="L11" s="38" t="s">
        <v>517</v>
      </c>
      <c r="M11" s="258" t="s">
        <v>43</v>
      </c>
      <c r="N11" s="259"/>
      <c r="O11" s="155"/>
      <c r="P11" s="155"/>
      <c r="Q11" s="78"/>
      <c r="R11" s="81" t="s">
        <v>489</v>
      </c>
      <c r="S11" s="81" t="s">
        <v>62</v>
      </c>
      <c r="T11" s="124" t="s">
        <v>518</v>
      </c>
      <c r="U11" s="156" t="s">
        <v>518</v>
      </c>
      <c r="V11" s="159"/>
      <c r="W11" s="143"/>
      <c r="X11" s="97" t="s">
        <v>743</v>
      </c>
      <c r="Y11" s="97" t="s">
        <v>641</v>
      </c>
      <c r="Z11" s="169"/>
      <c r="AA11" s="179"/>
      <c r="AB11" s="178" t="s">
        <v>500</v>
      </c>
      <c r="AC11" s="151"/>
      <c r="AD11" s="151"/>
      <c r="AE11" s="151"/>
      <c r="AF11" s="151"/>
      <c r="AG11" s="151"/>
      <c r="AH11" s="260" t="s">
        <v>838</v>
      </c>
      <c r="AI11" s="159"/>
      <c r="AJ11" s="261"/>
    </row>
    <row r="12" spans="1:36" ht="12" hidden="1" customHeight="1">
      <c r="A12" s="97" t="s">
        <v>944</v>
      </c>
      <c r="B12" s="76" t="s">
        <v>745</v>
      </c>
      <c r="C12" s="81" t="s">
        <v>16</v>
      </c>
      <c r="D12" s="81" t="s">
        <v>45</v>
      </c>
      <c r="E12" s="81" t="s">
        <v>18</v>
      </c>
      <c r="F12" s="95" t="s">
        <v>42</v>
      </c>
      <c r="G12" s="81" t="s">
        <v>472</v>
      </c>
      <c r="H12" s="76" t="s">
        <v>945</v>
      </c>
      <c r="I12" s="87" t="s">
        <v>946</v>
      </c>
      <c r="J12" s="49"/>
      <c r="K12" s="95" t="s">
        <v>507</v>
      </c>
      <c r="L12" s="38" t="s">
        <v>517</v>
      </c>
      <c r="M12" s="258" t="s">
        <v>43</v>
      </c>
      <c r="N12" s="259"/>
      <c r="O12" s="155"/>
      <c r="P12" s="155"/>
      <c r="Q12" s="78"/>
      <c r="R12" s="81" t="s">
        <v>746</v>
      </c>
      <c r="S12" s="81" t="s">
        <v>747</v>
      </c>
      <c r="T12" s="124" t="s">
        <v>518</v>
      </c>
      <c r="U12" s="156" t="s">
        <v>518</v>
      </c>
      <c r="V12" s="159"/>
      <c r="W12" s="143"/>
      <c r="X12" s="97" t="s">
        <v>684</v>
      </c>
      <c r="Y12" s="97" t="s">
        <v>642</v>
      </c>
      <c r="Z12" s="169"/>
      <c r="AA12" s="179"/>
      <c r="AB12" s="178"/>
      <c r="AC12" s="151"/>
      <c r="AD12" s="151"/>
      <c r="AE12" s="151"/>
      <c r="AF12" s="151"/>
      <c r="AG12" s="151"/>
      <c r="AH12" s="260" t="s">
        <v>845</v>
      </c>
      <c r="AI12" s="159"/>
      <c r="AJ12" s="261"/>
    </row>
    <row r="13" spans="1:36" ht="12" hidden="1" customHeight="1">
      <c r="A13" s="97" t="s">
        <v>142</v>
      </c>
      <c r="B13" s="76" t="s">
        <v>947</v>
      </c>
      <c r="C13" s="81" t="s">
        <v>16</v>
      </c>
      <c r="D13" s="95" t="s">
        <v>45</v>
      </c>
      <c r="E13" s="81" t="s">
        <v>18</v>
      </c>
      <c r="F13" s="95" t="s">
        <v>42</v>
      </c>
      <c r="G13" s="81" t="s">
        <v>326</v>
      </c>
      <c r="H13" s="76" t="s">
        <v>327</v>
      </c>
      <c r="I13" s="87" t="s">
        <v>855</v>
      </c>
      <c r="J13" s="49"/>
      <c r="K13" s="95" t="s">
        <v>507</v>
      </c>
      <c r="L13" s="38" t="s">
        <v>934</v>
      </c>
      <c r="M13" s="258" t="s">
        <v>916</v>
      </c>
      <c r="N13" s="259"/>
      <c r="O13" s="155"/>
      <c r="P13" s="155"/>
      <c r="Q13" s="78" t="s">
        <v>856</v>
      </c>
      <c r="R13" s="97" t="s">
        <v>491</v>
      </c>
      <c r="S13" s="97" t="s">
        <v>495</v>
      </c>
      <c r="T13" s="124" t="s">
        <v>518</v>
      </c>
      <c r="U13" s="156" t="s">
        <v>518</v>
      </c>
      <c r="V13" s="159"/>
      <c r="W13" s="143"/>
      <c r="X13" s="97" t="s">
        <v>638</v>
      </c>
      <c r="Y13" s="97" t="s">
        <v>639</v>
      </c>
      <c r="Z13" s="169"/>
      <c r="AA13" s="179"/>
      <c r="AB13" s="178"/>
      <c r="AC13" s="151"/>
      <c r="AD13" s="151"/>
      <c r="AE13" s="151"/>
      <c r="AF13" s="151"/>
      <c r="AG13" s="151"/>
      <c r="AH13" s="260" t="s">
        <v>838</v>
      </c>
      <c r="AI13" s="159"/>
      <c r="AJ13" s="261"/>
    </row>
    <row r="14" spans="1:36" ht="12" hidden="1" customHeight="1">
      <c r="A14" s="97" t="s">
        <v>146</v>
      </c>
      <c r="B14" s="76" t="s">
        <v>312</v>
      </c>
      <c r="C14" s="81" t="s">
        <v>16</v>
      </c>
      <c r="D14" s="81" t="s">
        <v>45</v>
      </c>
      <c r="E14" s="81" t="s">
        <v>18</v>
      </c>
      <c r="F14" s="95" t="s">
        <v>42</v>
      </c>
      <c r="G14" s="81" t="s">
        <v>948</v>
      </c>
      <c r="H14" s="76" t="s">
        <v>949</v>
      </c>
      <c r="I14" s="87" t="s">
        <v>950</v>
      </c>
      <c r="J14" s="49"/>
      <c r="K14" s="95" t="s">
        <v>951</v>
      </c>
      <c r="L14" s="38" t="s">
        <v>517</v>
      </c>
      <c r="M14" s="258" t="s">
        <v>524</v>
      </c>
      <c r="N14" s="259"/>
      <c r="O14" s="155"/>
      <c r="P14" s="155"/>
      <c r="Q14" s="78" t="s">
        <v>925</v>
      </c>
      <c r="R14" s="81" t="s">
        <v>506</v>
      </c>
      <c r="S14" s="97" t="s">
        <v>495</v>
      </c>
      <c r="T14" s="124" t="s">
        <v>919</v>
      </c>
      <c r="U14" s="156" t="s">
        <v>518</v>
      </c>
      <c r="V14" s="159"/>
      <c r="W14" s="143"/>
      <c r="X14" s="97" t="s">
        <v>638</v>
      </c>
      <c r="Y14" s="97" t="s">
        <v>639</v>
      </c>
      <c r="Z14" s="169"/>
      <c r="AA14" s="179"/>
      <c r="AB14" s="178"/>
      <c r="AC14" s="151"/>
      <c r="AD14" s="151"/>
      <c r="AE14" s="151"/>
      <c r="AF14" s="151"/>
      <c r="AG14" s="151"/>
      <c r="AH14" s="260" t="s">
        <v>838</v>
      </c>
      <c r="AI14" s="159"/>
      <c r="AJ14" s="261"/>
    </row>
    <row r="15" spans="1:36" ht="12" hidden="1" customHeight="1">
      <c r="A15" s="97" t="s">
        <v>147</v>
      </c>
      <c r="B15" s="76" t="s">
        <v>271</v>
      </c>
      <c r="C15" s="81" t="s">
        <v>16</v>
      </c>
      <c r="D15" s="81" t="s">
        <v>45</v>
      </c>
      <c r="E15" s="81" t="s">
        <v>18</v>
      </c>
      <c r="F15" s="95" t="s">
        <v>42</v>
      </c>
      <c r="G15" s="81" t="s">
        <v>952</v>
      </c>
      <c r="H15" s="76" t="s">
        <v>953</v>
      </c>
      <c r="I15" s="87" t="s">
        <v>954</v>
      </c>
      <c r="J15" s="49"/>
      <c r="K15" s="95" t="s">
        <v>507</v>
      </c>
      <c r="L15" s="38" t="s">
        <v>517</v>
      </c>
      <c r="M15" s="258" t="s">
        <v>43</v>
      </c>
      <c r="N15" s="259"/>
      <c r="O15" s="155"/>
      <c r="P15" s="155"/>
      <c r="Q15" s="78" t="s">
        <v>955</v>
      </c>
      <c r="R15" s="81" t="s">
        <v>489</v>
      </c>
      <c r="S15" s="97" t="s">
        <v>956</v>
      </c>
      <c r="T15" s="124" t="s">
        <v>607</v>
      </c>
      <c r="U15" s="95" t="s">
        <v>957</v>
      </c>
      <c r="V15" s="95" t="s">
        <v>612</v>
      </c>
      <c r="W15" s="143"/>
      <c r="X15" s="97" t="s">
        <v>609</v>
      </c>
      <c r="Y15" s="97" t="s">
        <v>639</v>
      </c>
      <c r="Z15" s="169"/>
      <c r="AA15" s="179"/>
      <c r="AB15" s="178"/>
      <c r="AC15" s="151"/>
      <c r="AD15" s="151"/>
      <c r="AE15" s="151"/>
      <c r="AF15" s="151"/>
      <c r="AG15" s="151"/>
      <c r="AH15" s="260" t="s">
        <v>840</v>
      </c>
      <c r="AI15" s="159"/>
      <c r="AJ15" s="261"/>
    </row>
    <row r="16" spans="1:36" ht="12" hidden="1" customHeight="1">
      <c r="A16" s="170" t="s">
        <v>148</v>
      </c>
      <c r="B16" s="223" t="s">
        <v>958</v>
      </c>
      <c r="C16" s="83" t="s">
        <v>16</v>
      </c>
      <c r="D16" s="83" t="s">
        <v>45</v>
      </c>
      <c r="E16" s="83" t="s">
        <v>19</v>
      </c>
      <c r="F16" s="170" t="s">
        <v>42</v>
      </c>
      <c r="G16" s="83" t="s">
        <v>959</v>
      </c>
      <c r="H16" s="223" t="s">
        <v>958</v>
      </c>
      <c r="I16" s="92" t="s">
        <v>960</v>
      </c>
      <c r="J16" s="49"/>
      <c r="K16" s="170" t="s">
        <v>507</v>
      </c>
      <c r="L16" s="48" t="s">
        <v>934</v>
      </c>
      <c r="M16" s="266" t="s">
        <v>961</v>
      </c>
      <c r="N16" s="265" t="s">
        <v>865</v>
      </c>
      <c r="O16" s="155"/>
      <c r="P16" s="155"/>
      <c r="Q16" s="225" t="s">
        <v>925</v>
      </c>
      <c r="R16" s="83" t="s">
        <v>927</v>
      </c>
      <c r="S16" s="170" t="s">
        <v>495</v>
      </c>
      <c r="T16" s="124" t="s">
        <v>962</v>
      </c>
      <c r="U16" s="95" t="s">
        <v>963</v>
      </c>
      <c r="V16" s="95" t="s">
        <v>964</v>
      </c>
      <c r="W16" s="143"/>
      <c r="X16" s="97" t="s">
        <v>684</v>
      </c>
      <c r="Y16" s="97" t="s">
        <v>639</v>
      </c>
      <c r="Z16" s="174"/>
      <c r="AA16" s="180"/>
      <c r="AB16" s="178"/>
      <c r="AC16" s="151"/>
      <c r="AD16" s="151"/>
      <c r="AE16" s="151"/>
      <c r="AF16" s="151"/>
      <c r="AG16" s="151"/>
      <c r="AH16" s="260" t="s">
        <v>838</v>
      </c>
      <c r="AI16" s="159" t="s">
        <v>965</v>
      </c>
      <c r="AJ16" s="261"/>
    </row>
    <row r="17" spans="1:36" ht="12" hidden="1" customHeight="1">
      <c r="A17" s="97" t="s">
        <v>149</v>
      </c>
      <c r="B17" s="76" t="s">
        <v>272</v>
      </c>
      <c r="C17" s="81" t="s">
        <v>16</v>
      </c>
      <c r="D17" s="81" t="s">
        <v>45</v>
      </c>
      <c r="E17" s="81" t="s">
        <v>18</v>
      </c>
      <c r="F17" s="95" t="s">
        <v>42</v>
      </c>
      <c r="G17" s="81" t="s">
        <v>330</v>
      </c>
      <c r="H17" s="76" t="s">
        <v>272</v>
      </c>
      <c r="I17" s="87" t="s">
        <v>966</v>
      </c>
      <c r="J17" s="49"/>
      <c r="K17" s="95" t="s">
        <v>507</v>
      </c>
      <c r="L17" s="38" t="s">
        <v>517</v>
      </c>
      <c r="M17" s="258" t="s">
        <v>524</v>
      </c>
      <c r="N17" s="259"/>
      <c r="O17" s="155"/>
      <c r="P17" s="155"/>
      <c r="Q17" s="78" t="s">
        <v>856</v>
      </c>
      <c r="R17" s="81" t="s">
        <v>489</v>
      </c>
      <c r="S17" s="97" t="s">
        <v>967</v>
      </c>
      <c r="T17" s="124" t="s">
        <v>518</v>
      </c>
      <c r="U17" s="156" t="s">
        <v>518</v>
      </c>
      <c r="V17" s="159"/>
      <c r="W17" s="143"/>
      <c r="X17" s="97" t="s">
        <v>638</v>
      </c>
      <c r="Y17" s="97" t="s">
        <v>639</v>
      </c>
      <c r="Z17" s="169"/>
      <c r="AA17" s="179"/>
      <c r="AB17" s="178"/>
      <c r="AC17" s="151"/>
      <c r="AD17" s="151"/>
      <c r="AE17" s="151"/>
      <c r="AF17" s="151"/>
      <c r="AG17" s="151"/>
      <c r="AH17" s="260" t="s">
        <v>838</v>
      </c>
      <c r="AI17" s="159"/>
      <c r="AJ17" s="261"/>
    </row>
    <row r="18" spans="1:36" ht="12" hidden="1" customHeight="1">
      <c r="A18" s="97" t="s">
        <v>150</v>
      </c>
      <c r="B18" s="76" t="s">
        <v>968</v>
      </c>
      <c r="C18" s="81" t="s">
        <v>16</v>
      </c>
      <c r="D18" s="81" t="s">
        <v>45</v>
      </c>
      <c r="E18" s="81" t="s">
        <v>18</v>
      </c>
      <c r="F18" s="95" t="s">
        <v>42</v>
      </c>
      <c r="G18" s="81" t="s">
        <v>331</v>
      </c>
      <c r="H18" s="76" t="s">
        <v>969</v>
      </c>
      <c r="I18" s="87" t="s">
        <v>619</v>
      </c>
      <c r="J18" s="49"/>
      <c r="K18" s="95" t="s">
        <v>507</v>
      </c>
      <c r="L18" s="38" t="s">
        <v>517</v>
      </c>
      <c r="M18" s="258" t="s">
        <v>524</v>
      </c>
      <c r="N18" s="259"/>
      <c r="O18" s="155"/>
      <c r="P18" s="155"/>
      <c r="Q18" s="78" t="s">
        <v>858</v>
      </c>
      <c r="R18" s="81" t="s">
        <v>927</v>
      </c>
      <c r="S18" s="97" t="s">
        <v>967</v>
      </c>
      <c r="T18" s="124" t="s">
        <v>518</v>
      </c>
      <c r="U18" s="156" t="s">
        <v>518</v>
      </c>
      <c r="V18" s="159"/>
      <c r="W18" s="143"/>
      <c r="X18" s="97" t="s">
        <v>638</v>
      </c>
      <c r="Y18" s="97" t="s">
        <v>639</v>
      </c>
      <c r="Z18" s="169"/>
      <c r="AA18" s="179"/>
      <c r="AB18" s="178"/>
      <c r="AC18" s="151"/>
      <c r="AD18" s="151"/>
      <c r="AE18" s="151"/>
      <c r="AF18" s="151"/>
      <c r="AG18" s="151"/>
      <c r="AH18" s="260" t="s">
        <v>838</v>
      </c>
      <c r="AI18" s="159"/>
      <c r="AJ18" s="261"/>
    </row>
    <row r="19" spans="1:36" ht="12" hidden="1" customHeight="1">
      <c r="A19" s="97" t="s">
        <v>161</v>
      </c>
      <c r="B19" s="76" t="s">
        <v>970</v>
      </c>
      <c r="C19" s="81" t="s">
        <v>16</v>
      </c>
      <c r="D19" s="81" t="s">
        <v>45</v>
      </c>
      <c r="E19" s="81" t="s">
        <v>18</v>
      </c>
      <c r="F19" s="95" t="s">
        <v>42</v>
      </c>
      <c r="G19" s="81" t="s">
        <v>338</v>
      </c>
      <c r="H19" s="76" t="s">
        <v>970</v>
      </c>
      <c r="I19" s="87" t="s">
        <v>864</v>
      </c>
      <c r="J19" s="49"/>
      <c r="K19" s="95" t="s">
        <v>507</v>
      </c>
      <c r="L19" s="38" t="s">
        <v>517</v>
      </c>
      <c r="M19" s="258" t="s">
        <v>43</v>
      </c>
      <c r="N19" s="259"/>
      <c r="O19" s="155"/>
      <c r="P19" s="155"/>
      <c r="Q19" s="78" t="s">
        <v>925</v>
      </c>
      <c r="R19" s="81" t="s">
        <v>927</v>
      </c>
      <c r="S19" s="97" t="s">
        <v>618</v>
      </c>
      <c r="T19" s="124" t="s">
        <v>518</v>
      </c>
      <c r="U19" s="156" t="s">
        <v>518</v>
      </c>
      <c r="V19" s="159"/>
      <c r="W19" s="143"/>
      <c r="X19" s="97" t="s">
        <v>971</v>
      </c>
      <c r="Y19" s="97" t="s">
        <v>634</v>
      </c>
      <c r="Z19" s="169"/>
      <c r="AA19" s="179"/>
      <c r="AB19" s="178"/>
      <c r="AC19" s="151"/>
      <c r="AD19" s="151"/>
      <c r="AE19" s="151"/>
      <c r="AF19" s="151"/>
      <c r="AG19" s="151"/>
      <c r="AH19" s="260" t="s">
        <v>838</v>
      </c>
      <c r="AI19" s="159"/>
      <c r="AJ19" s="261"/>
    </row>
    <row r="20" spans="1:36" ht="12" hidden="1" customHeight="1">
      <c r="A20" s="170" t="s">
        <v>167</v>
      </c>
      <c r="B20" s="223" t="s">
        <v>315</v>
      </c>
      <c r="C20" s="83" t="s">
        <v>16</v>
      </c>
      <c r="D20" s="83" t="s">
        <v>45</v>
      </c>
      <c r="E20" s="83" t="s">
        <v>972</v>
      </c>
      <c r="F20" s="170" t="s">
        <v>42</v>
      </c>
      <c r="G20" s="83" t="s">
        <v>344</v>
      </c>
      <c r="H20" s="223" t="s">
        <v>973</v>
      </c>
      <c r="I20" s="92" t="s">
        <v>829</v>
      </c>
      <c r="J20" s="49"/>
      <c r="K20" s="170" t="s">
        <v>507</v>
      </c>
      <c r="L20" s="48" t="s">
        <v>517</v>
      </c>
      <c r="M20" s="264" t="s">
        <v>44</v>
      </c>
      <c r="N20" s="267" t="s">
        <v>974</v>
      </c>
      <c r="O20" s="155"/>
      <c r="P20" s="155"/>
      <c r="Q20" s="225" t="s">
        <v>925</v>
      </c>
      <c r="R20" s="83" t="s">
        <v>489</v>
      </c>
      <c r="S20" s="170" t="s">
        <v>495</v>
      </c>
      <c r="T20" s="124" t="s">
        <v>518</v>
      </c>
      <c r="U20" s="95" t="s">
        <v>975</v>
      </c>
      <c r="V20" s="95" t="s">
        <v>611</v>
      </c>
      <c r="W20" s="143"/>
      <c r="X20" s="97" t="s">
        <v>976</v>
      </c>
      <c r="Y20" s="97" t="s">
        <v>639</v>
      </c>
      <c r="Z20" s="169"/>
      <c r="AA20" s="179"/>
      <c r="AB20" s="178"/>
      <c r="AC20" s="151"/>
      <c r="AD20" s="151"/>
      <c r="AE20" s="151"/>
      <c r="AF20" s="151"/>
      <c r="AG20" s="151"/>
      <c r="AH20" s="260" t="s">
        <v>838</v>
      </c>
      <c r="AI20" s="159"/>
      <c r="AJ20" s="261"/>
    </row>
    <row r="21" spans="1:36" ht="12" hidden="1" customHeight="1">
      <c r="A21" s="97" t="s">
        <v>177</v>
      </c>
      <c r="B21" s="76" t="s">
        <v>977</v>
      </c>
      <c r="C21" s="81" t="s">
        <v>16</v>
      </c>
      <c r="D21" s="81" t="s">
        <v>45</v>
      </c>
      <c r="E21" s="81" t="s">
        <v>18</v>
      </c>
      <c r="F21" s="95" t="s">
        <v>42</v>
      </c>
      <c r="G21" s="81" t="s">
        <v>377</v>
      </c>
      <c r="H21" s="74" t="s">
        <v>378</v>
      </c>
      <c r="I21" s="87" t="s">
        <v>978</v>
      </c>
      <c r="J21" s="49"/>
      <c r="K21" s="95" t="s">
        <v>507</v>
      </c>
      <c r="L21" s="38" t="s">
        <v>517</v>
      </c>
      <c r="M21" s="258" t="s">
        <v>43</v>
      </c>
      <c r="N21" s="259" t="s">
        <v>979</v>
      </c>
      <c r="O21" s="155"/>
      <c r="P21" s="155"/>
      <c r="Q21" s="78" t="s">
        <v>925</v>
      </c>
      <c r="R21" s="97" t="s">
        <v>980</v>
      </c>
      <c r="S21" s="97" t="s">
        <v>682</v>
      </c>
      <c r="T21" s="124" t="s">
        <v>518</v>
      </c>
      <c r="U21" s="156" t="s">
        <v>518</v>
      </c>
      <c r="V21" s="159"/>
      <c r="W21" s="143"/>
      <c r="X21" s="97" t="s">
        <v>613</v>
      </c>
      <c r="Y21" s="97" t="s">
        <v>639</v>
      </c>
      <c r="Z21" s="169"/>
      <c r="AA21" s="179"/>
      <c r="AB21" s="178" t="s">
        <v>500</v>
      </c>
      <c r="AC21" s="151"/>
      <c r="AD21" s="151"/>
      <c r="AE21" s="151"/>
      <c r="AF21" s="151"/>
      <c r="AG21" s="151"/>
      <c r="AH21" s="260" t="s">
        <v>839</v>
      </c>
      <c r="AI21" s="159"/>
      <c r="AJ21" s="261"/>
    </row>
    <row r="22" spans="1:36" ht="12" hidden="1" customHeight="1">
      <c r="A22" s="97" t="s">
        <v>257</v>
      </c>
      <c r="B22" s="76" t="s">
        <v>319</v>
      </c>
      <c r="C22" s="81" t="s">
        <v>16</v>
      </c>
      <c r="D22" s="81" t="s">
        <v>45</v>
      </c>
      <c r="E22" s="81" t="s">
        <v>18</v>
      </c>
      <c r="F22" s="95" t="s">
        <v>42</v>
      </c>
      <c r="G22" s="81" t="s">
        <v>464</v>
      </c>
      <c r="H22" s="76" t="s">
        <v>981</v>
      </c>
      <c r="I22" s="87" t="s">
        <v>685</v>
      </c>
      <c r="J22" s="49"/>
      <c r="K22" s="95" t="s">
        <v>508</v>
      </c>
      <c r="L22" s="38" t="s">
        <v>934</v>
      </c>
      <c r="M22" s="258" t="s">
        <v>916</v>
      </c>
      <c r="N22" s="259" t="s">
        <v>982</v>
      </c>
      <c r="O22" s="155"/>
      <c r="P22" s="155"/>
      <c r="Q22" s="78" t="s">
        <v>856</v>
      </c>
      <c r="R22" s="81" t="s">
        <v>489</v>
      </c>
      <c r="S22" s="97" t="s">
        <v>495</v>
      </c>
      <c r="T22" s="124" t="s">
        <v>919</v>
      </c>
      <c r="U22" s="95" t="s">
        <v>610</v>
      </c>
      <c r="V22" s="95" t="s">
        <v>611</v>
      </c>
      <c r="W22" s="143"/>
      <c r="X22" s="97" t="s">
        <v>971</v>
      </c>
      <c r="Y22" s="97" t="s">
        <v>639</v>
      </c>
      <c r="Z22" s="169"/>
      <c r="AA22" s="179"/>
      <c r="AB22" s="178"/>
      <c r="AC22" s="151"/>
      <c r="AD22" s="151"/>
      <c r="AE22" s="151"/>
      <c r="AF22" s="151"/>
      <c r="AG22" s="151"/>
      <c r="AH22" s="260" t="s">
        <v>838</v>
      </c>
      <c r="AI22" s="159"/>
      <c r="AJ22" s="261"/>
    </row>
    <row r="23" spans="1:36" ht="12" hidden="1" customHeight="1">
      <c r="A23" s="97" t="s">
        <v>259</v>
      </c>
      <c r="B23" s="76" t="s">
        <v>321</v>
      </c>
      <c r="C23" s="81" t="s">
        <v>16</v>
      </c>
      <c r="D23" s="81" t="s">
        <v>45</v>
      </c>
      <c r="E23" s="81" t="s">
        <v>18</v>
      </c>
      <c r="F23" s="95" t="s">
        <v>42</v>
      </c>
      <c r="G23" s="81" t="s">
        <v>983</v>
      </c>
      <c r="H23" s="76" t="s">
        <v>466</v>
      </c>
      <c r="I23" s="87" t="s">
        <v>984</v>
      </c>
      <c r="J23" s="49"/>
      <c r="K23" s="95" t="s">
        <v>507</v>
      </c>
      <c r="L23" s="38" t="s">
        <v>934</v>
      </c>
      <c r="M23" s="258" t="s">
        <v>916</v>
      </c>
      <c r="N23" s="259" t="s">
        <v>985</v>
      </c>
      <c r="O23" s="155"/>
      <c r="P23" s="155"/>
      <c r="Q23" s="78" t="s">
        <v>925</v>
      </c>
      <c r="R23" s="97" t="s">
        <v>980</v>
      </c>
      <c r="S23" s="97" t="s">
        <v>495</v>
      </c>
      <c r="T23" s="124" t="s">
        <v>518</v>
      </c>
      <c r="U23" s="156" t="s">
        <v>518</v>
      </c>
      <c r="V23" s="159"/>
      <c r="W23" s="143"/>
      <c r="X23" s="97" t="s">
        <v>608</v>
      </c>
      <c r="Y23" s="97" t="s">
        <v>639</v>
      </c>
      <c r="Z23" s="169"/>
      <c r="AA23" s="179"/>
      <c r="AB23" s="178" t="s">
        <v>500</v>
      </c>
      <c r="AC23" s="151"/>
      <c r="AD23" s="151"/>
      <c r="AE23" s="151"/>
      <c r="AF23" s="151"/>
      <c r="AG23" s="151"/>
      <c r="AH23" s="260" t="s">
        <v>838</v>
      </c>
      <c r="AI23" s="159"/>
      <c r="AJ23" s="261"/>
    </row>
    <row r="24" spans="1:36" ht="12" hidden="1" customHeight="1">
      <c r="A24" s="97" t="s">
        <v>311</v>
      </c>
      <c r="B24" s="76" t="s">
        <v>267</v>
      </c>
      <c r="C24" s="81" t="s">
        <v>16</v>
      </c>
      <c r="D24" s="81" t="s">
        <v>45</v>
      </c>
      <c r="E24" s="81" t="s">
        <v>18</v>
      </c>
      <c r="F24" s="95" t="s">
        <v>42</v>
      </c>
      <c r="G24" s="84" t="s">
        <v>986</v>
      </c>
      <c r="H24" s="76" t="s">
        <v>503</v>
      </c>
      <c r="I24" s="87" t="s">
        <v>686</v>
      </c>
      <c r="J24" s="37"/>
      <c r="K24" s="81" t="s">
        <v>987</v>
      </c>
      <c r="L24" s="38" t="s">
        <v>517</v>
      </c>
      <c r="M24" s="258" t="s">
        <v>524</v>
      </c>
      <c r="N24" s="259" t="s">
        <v>687</v>
      </c>
      <c r="O24" s="112"/>
      <c r="P24" s="112"/>
      <c r="Q24" s="78" t="s">
        <v>856</v>
      </c>
      <c r="R24" s="97" t="s">
        <v>489</v>
      </c>
      <c r="S24" s="97" t="s">
        <v>495</v>
      </c>
      <c r="T24" s="124" t="s">
        <v>607</v>
      </c>
      <c r="U24" s="95" t="s">
        <v>595</v>
      </c>
      <c r="V24" s="95" t="s">
        <v>988</v>
      </c>
      <c r="W24" s="143"/>
      <c r="X24" s="97" t="s">
        <v>638</v>
      </c>
      <c r="Y24" s="97" t="s">
        <v>639</v>
      </c>
      <c r="Z24" s="169"/>
      <c r="AA24" s="179"/>
      <c r="AB24" s="178"/>
      <c r="AC24" s="151"/>
      <c r="AD24" s="151"/>
      <c r="AE24" s="151"/>
      <c r="AF24" s="151"/>
      <c r="AG24" s="151"/>
      <c r="AH24" s="260" t="s">
        <v>838</v>
      </c>
      <c r="AI24" s="159"/>
      <c r="AJ24" s="261"/>
    </row>
    <row r="25" spans="1:36" ht="12" hidden="1" customHeight="1">
      <c r="A25" s="170" t="s">
        <v>138</v>
      </c>
      <c r="B25" s="223" t="s">
        <v>989</v>
      </c>
      <c r="C25" s="83" t="s">
        <v>16</v>
      </c>
      <c r="D25" s="83" t="s">
        <v>45</v>
      </c>
      <c r="E25" s="83" t="s">
        <v>19</v>
      </c>
      <c r="F25" s="170" t="s">
        <v>990</v>
      </c>
      <c r="G25" s="83" t="s">
        <v>323</v>
      </c>
      <c r="H25" s="223" t="s">
        <v>991</v>
      </c>
      <c r="I25" s="92" t="s">
        <v>992</v>
      </c>
      <c r="J25" s="49"/>
      <c r="K25" s="170" t="s">
        <v>993</v>
      </c>
      <c r="L25" s="48" t="s">
        <v>517</v>
      </c>
      <c r="M25" s="264" t="s">
        <v>620</v>
      </c>
      <c r="N25" s="267" t="s">
        <v>994</v>
      </c>
      <c r="O25" s="155"/>
      <c r="P25" s="155"/>
      <c r="Q25" s="225" t="s">
        <v>925</v>
      </c>
      <c r="R25" s="170" t="s">
        <v>927</v>
      </c>
      <c r="S25" s="170" t="s">
        <v>967</v>
      </c>
      <c r="T25" s="124" t="s">
        <v>518</v>
      </c>
      <c r="U25" s="95" t="s">
        <v>995</v>
      </c>
      <c r="V25" s="95" t="s">
        <v>596</v>
      </c>
      <c r="W25" s="143"/>
      <c r="X25" s="97" t="s">
        <v>638</v>
      </c>
      <c r="Y25" s="97" t="s">
        <v>639</v>
      </c>
      <c r="Z25" s="169"/>
      <c r="AA25" s="179"/>
      <c r="AB25" s="178"/>
      <c r="AC25" s="151"/>
      <c r="AD25" s="151"/>
      <c r="AE25" s="151"/>
      <c r="AF25" s="151"/>
      <c r="AG25" s="151"/>
      <c r="AH25" s="260" t="s">
        <v>838</v>
      </c>
      <c r="AI25" s="159" t="s">
        <v>942</v>
      </c>
      <c r="AJ25" s="261"/>
    </row>
    <row r="26" spans="1:36" ht="12" hidden="1" customHeight="1">
      <c r="A26" s="170" t="s">
        <v>996</v>
      </c>
      <c r="B26" s="224" t="s">
        <v>997</v>
      </c>
      <c r="C26" s="83" t="s">
        <v>16</v>
      </c>
      <c r="D26" s="83" t="s">
        <v>45</v>
      </c>
      <c r="E26" s="83" t="s">
        <v>972</v>
      </c>
      <c r="F26" s="226" t="s">
        <v>41</v>
      </c>
      <c r="G26" s="83" t="s">
        <v>998</v>
      </c>
      <c r="H26" s="92" t="s">
        <v>478</v>
      </c>
      <c r="I26" s="92" t="s">
        <v>852</v>
      </c>
      <c r="J26" s="49"/>
      <c r="K26" s="170" t="s">
        <v>999</v>
      </c>
      <c r="L26" s="48" t="s">
        <v>517</v>
      </c>
      <c r="M26" s="264" t="s">
        <v>44</v>
      </c>
      <c r="N26" s="265" t="s">
        <v>1000</v>
      </c>
      <c r="O26" s="155"/>
      <c r="P26" s="155"/>
      <c r="Q26" s="225" t="s">
        <v>1001</v>
      </c>
      <c r="R26" s="83" t="s">
        <v>927</v>
      </c>
      <c r="S26" s="170" t="s">
        <v>495</v>
      </c>
      <c r="T26" s="124" t="s">
        <v>607</v>
      </c>
      <c r="U26" s="95" t="s">
        <v>688</v>
      </c>
      <c r="V26" s="95" t="s">
        <v>689</v>
      </c>
      <c r="W26" s="143"/>
      <c r="X26" s="97" t="s">
        <v>684</v>
      </c>
      <c r="Y26" s="97" t="s">
        <v>639</v>
      </c>
      <c r="Z26" s="174"/>
      <c r="AA26" s="180"/>
      <c r="AB26" s="178"/>
      <c r="AC26" s="151"/>
      <c r="AD26" s="151"/>
      <c r="AE26" s="151"/>
      <c r="AF26" s="151"/>
      <c r="AG26" s="151"/>
      <c r="AH26" s="260" t="s">
        <v>838</v>
      </c>
      <c r="AI26" s="159"/>
      <c r="AJ26" s="261"/>
    </row>
    <row r="27" spans="1:36" ht="12" hidden="1" customHeight="1">
      <c r="A27" s="97" t="s">
        <v>155</v>
      </c>
      <c r="B27" s="75" t="s">
        <v>1002</v>
      </c>
      <c r="C27" s="81" t="s">
        <v>17</v>
      </c>
      <c r="D27" s="81" t="s">
        <v>45</v>
      </c>
      <c r="E27" s="81" t="s">
        <v>18</v>
      </c>
      <c r="F27" s="95" t="s">
        <v>41</v>
      </c>
      <c r="G27" s="81" t="s">
        <v>335</v>
      </c>
      <c r="H27" s="75" t="s">
        <v>313</v>
      </c>
      <c r="I27" s="90" t="s">
        <v>593</v>
      </c>
      <c r="J27" s="49"/>
      <c r="K27" s="81" t="s">
        <v>507</v>
      </c>
      <c r="L27" s="38" t="s">
        <v>517</v>
      </c>
      <c r="M27" s="258" t="s">
        <v>43</v>
      </c>
      <c r="N27" s="259"/>
      <c r="O27" s="155"/>
      <c r="P27" s="155"/>
      <c r="Q27" s="78" t="s">
        <v>861</v>
      </c>
      <c r="R27" s="97" t="s">
        <v>491</v>
      </c>
      <c r="S27" s="81" t="s">
        <v>747</v>
      </c>
      <c r="T27" s="124" t="s">
        <v>518</v>
      </c>
      <c r="U27" s="156" t="s">
        <v>518</v>
      </c>
      <c r="V27" s="159"/>
      <c r="W27" s="143"/>
      <c r="X27" s="97" t="s">
        <v>976</v>
      </c>
      <c r="Y27" s="97" t="s">
        <v>644</v>
      </c>
      <c r="Z27" s="169"/>
      <c r="AA27" s="179"/>
      <c r="AB27" s="178"/>
      <c r="AC27" s="151"/>
      <c r="AD27" s="151"/>
      <c r="AE27" s="151"/>
      <c r="AF27" s="151"/>
      <c r="AG27" s="151"/>
      <c r="AH27" s="260" t="s">
        <v>845</v>
      </c>
      <c r="AI27" s="159"/>
      <c r="AJ27" s="261"/>
    </row>
    <row r="28" spans="1:36" ht="12" hidden="1" customHeight="1">
      <c r="A28" s="170" t="s">
        <v>162</v>
      </c>
      <c r="B28" s="223" t="s">
        <v>1003</v>
      </c>
      <c r="C28" s="83" t="s">
        <v>16</v>
      </c>
      <c r="D28" s="83" t="s">
        <v>45</v>
      </c>
      <c r="E28" s="83" t="s">
        <v>19</v>
      </c>
      <c r="F28" s="170" t="s">
        <v>42</v>
      </c>
      <c r="G28" s="83" t="s">
        <v>690</v>
      </c>
      <c r="H28" s="223" t="s">
        <v>1004</v>
      </c>
      <c r="I28" s="92" t="s">
        <v>594</v>
      </c>
      <c r="J28" s="49"/>
      <c r="K28" s="170" t="s">
        <v>507</v>
      </c>
      <c r="L28" s="48" t="s">
        <v>517</v>
      </c>
      <c r="M28" s="264" t="s">
        <v>44</v>
      </c>
      <c r="N28" s="265" t="s">
        <v>1005</v>
      </c>
      <c r="O28" s="155"/>
      <c r="P28" s="155"/>
      <c r="Q28" s="143" t="s">
        <v>859</v>
      </c>
      <c r="R28" s="83" t="s">
        <v>927</v>
      </c>
      <c r="S28" s="170" t="s">
        <v>1006</v>
      </c>
      <c r="T28" s="124" t="s">
        <v>607</v>
      </c>
      <c r="U28" s="95" t="s">
        <v>995</v>
      </c>
      <c r="V28" s="95" t="s">
        <v>598</v>
      </c>
      <c r="W28" s="143"/>
      <c r="X28" s="97" t="s">
        <v>638</v>
      </c>
      <c r="Y28" s="97" t="s">
        <v>634</v>
      </c>
      <c r="Z28" s="174"/>
      <c r="AA28" s="179"/>
      <c r="AB28" s="178"/>
      <c r="AC28" s="151"/>
      <c r="AD28" s="151"/>
      <c r="AE28" s="151"/>
      <c r="AF28" s="151"/>
      <c r="AG28" s="151"/>
      <c r="AH28" s="260" t="s">
        <v>838</v>
      </c>
      <c r="AI28" s="159" t="s">
        <v>942</v>
      </c>
      <c r="AJ28" s="261"/>
    </row>
    <row r="29" spans="1:36" ht="12" hidden="1" customHeight="1">
      <c r="A29" s="170" t="s">
        <v>156</v>
      </c>
      <c r="B29" s="223" t="s">
        <v>275</v>
      </c>
      <c r="C29" s="83" t="s">
        <v>16</v>
      </c>
      <c r="D29" s="83" t="s">
        <v>45</v>
      </c>
      <c r="E29" s="83" t="s">
        <v>972</v>
      </c>
      <c r="F29" s="170" t="s">
        <v>42</v>
      </c>
      <c r="G29" s="83" t="s">
        <v>691</v>
      </c>
      <c r="H29" s="223" t="s">
        <v>1007</v>
      </c>
      <c r="I29" s="92" t="s">
        <v>1008</v>
      </c>
      <c r="J29" s="49"/>
      <c r="K29" s="170" t="s">
        <v>507</v>
      </c>
      <c r="L29" s="48" t="s">
        <v>517</v>
      </c>
      <c r="M29" s="264" t="s">
        <v>44</v>
      </c>
      <c r="N29" s="265" t="s">
        <v>868</v>
      </c>
      <c r="O29" s="155"/>
      <c r="P29" s="155"/>
      <c r="Q29" s="143" t="s">
        <v>862</v>
      </c>
      <c r="R29" s="83" t="s">
        <v>927</v>
      </c>
      <c r="S29" s="170" t="s">
        <v>1006</v>
      </c>
      <c r="T29" s="124" t="s">
        <v>518</v>
      </c>
      <c r="U29" s="156" t="s">
        <v>518</v>
      </c>
      <c r="V29" s="159"/>
      <c r="W29" s="143"/>
      <c r="X29" s="97" t="s">
        <v>638</v>
      </c>
      <c r="Y29" s="97" t="s">
        <v>639</v>
      </c>
      <c r="Z29" s="169"/>
      <c r="AA29" s="180"/>
      <c r="AB29" s="178"/>
      <c r="AC29" s="151"/>
      <c r="AD29" s="151"/>
      <c r="AE29" s="151"/>
      <c r="AF29" s="151"/>
      <c r="AG29" s="151"/>
      <c r="AH29" s="260" t="s">
        <v>838</v>
      </c>
      <c r="AI29" s="159" t="s">
        <v>866</v>
      </c>
      <c r="AJ29" s="261"/>
    </row>
    <row r="30" spans="1:36" ht="12" hidden="1" customHeight="1">
      <c r="A30" s="97" t="s">
        <v>163</v>
      </c>
      <c r="B30" s="76" t="s">
        <v>277</v>
      </c>
      <c r="C30" s="81" t="s">
        <v>16</v>
      </c>
      <c r="D30" s="81" t="s">
        <v>45</v>
      </c>
      <c r="E30" s="81" t="s">
        <v>18</v>
      </c>
      <c r="F30" s="95" t="s">
        <v>42</v>
      </c>
      <c r="G30" s="81" t="s">
        <v>339</v>
      </c>
      <c r="H30" s="76" t="s">
        <v>277</v>
      </c>
      <c r="I30" s="87" t="s">
        <v>1009</v>
      </c>
      <c r="J30" s="49"/>
      <c r="K30" s="95" t="s">
        <v>507</v>
      </c>
      <c r="L30" s="38" t="s">
        <v>934</v>
      </c>
      <c r="M30" s="258" t="s">
        <v>505</v>
      </c>
      <c r="N30" s="259" t="s">
        <v>1010</v>
      </c>
      <c r="O30" s="155"/>
      <c r="P30" s="155"/>
      <c r="Q30" s="99"/>
      <c r="R30" s="81" t="s">
        <v>489</v>
      </c>
      <c r="S30" s="95" t="s">
        <v>1011</v>
      </c>
      <c r="T30" s="124" t="s">
        <v>518</v>
      </c>
      <c r="U30" s="156" t="s">
        <v>518</v>
      </c>
      <c r="V30" s="159"/>
      <c r="W30" s="143"/>
      <c r="X30" s="97" t="s">
        <v>1012</v>
      </c>
      <c r="Y30" s="97" t="s">
        <v>634</v>
      </c>
      <c r="Z30" s="169"/>
      <c r="AA30" s="179"/>
      <c r="AB30" s="178"/>
      <c r="AC30" s="151"/>
      <c r="AD30" s="151"/>
      <c r="AE30" s="151"/>
      <c r="AF30" s="151"/>
      <c r="AG30" s="151"/>
      <c r="AH30" s="260" t="s">
        <v>838</v>
      </c>
      <c r="AI30" s="159"/>
      <c r="AJ30" s="263">
        <v>44320</v>
      </c>
    </row>
    <row r="31" spans="1:36" ht="12" hidden="1" customHeight="1">
      <c r="A31" s="170" t="s">
        <v>164</v>
      </c>
      <c r="B31" s="223" t="s">
        <v>278</v>
      </c>
      <c r="C31" s="83" t="s">
        <v>16</v>
      </c>
      <c r="D31" s="83" t="s">
        <v>45</v>
      </c>
      <c r="E31" s="83" t="s">
        <v>19</v>
      </c>
      <c r="F31" s="170" t="s">
        <v>42</v>
      </c>
      <c r="G31" s="83" t="s">
        <v>340</v>
      </c>
      <c r="H31" s="223" t="s">
        <v>278</v>
      </c>
      <c r="I31" s="92" t="s">
        <v>1013</v>
      </c>
      <c r="J31" s="49"/>
      <c r="K31" s="170" t="s">
        <v>507</v>
      </c>
      <c r="L31" s="48" t="s">
        <v>517</v>
      </c>
      <c r="M31" s="266" t="s">
        <v>620</v>
      </c>
      <c r="N31" s="265" t="s">
        <v>1014</v>
      </c>
      <c r="O31" s="155"/>
      <c r="P31" s="155"/>
      <c r="Q31" s="143" t="s">
        <v>1015</v>
      </c>
      <c r="R31" s="83" t="s">
        <v>489</v>
      </c>
      <c r="S31" s="170" t="s">
        <v>1011</v>
      </c>
      <c r="T31" s="124" t="s">
        <v>962</v>
      </c>
      <c r="U31" s="156" t="s">
        <v>518</v>
      </c>
      <c r="V31" s="159"/>
      <c r="W31" s="143"/>
      <c r="X31" s="97" t="s">
        <v>1016</v>
      </c>
      <c r="Y31" s="97" t="s">
        <v>645</v>
      </c>
      <c r="Z31" s="169"/>
      <c r="AA31" s="180"/>
      <c r="AB31" s="178"/>
      <c r="AC31" s="151"/>
      <c r="AD31" s="151"/>
      <c r="AE31" s="151"/>
      <c r="AF31" s="151"/>
      <c r="AG31" s="151"/>
      <c r="AH31" s="260" t="s">
        <v>838</v>
      </c>
      <c r="AI31" s="159" t="s">
        <v>942</v>
      </c>
      <c r="AJ31" s="261"/>
    </row>
    <row r="32" spans="1:36" ht="12" hidden="1" customHeight="1">
      <c r="A32" s="97" t="s">
        <v>170</v>
      </c>
      <c r="B32" s="76" t="s">
        <v>1017</v>
      </c>
      <c r="C32" s="81" t="s">
        <v>16</v>
      </c>
      <c r="D32" s="81" t="s">
        <v>45</v>
      </c>
      <c r="E32" s="81" t="s">
        <v>18</v>
      </c>
      <c r="F32" s="95" t="s">
        <v>42</v>
      </c>
      <c r="G32" s="81" t="s">
        <v>346</v>
      </c>
      <c r="H32" s="76" t="s">
        <v>347</v>
      </c>
      <c r="I32" s="87" t="s">
        <v>1018</v>
      </c>
      <c r="J32" s="49"/>
      <c r="K32" s="95" t="s">
        <v>507</v>
      </c>
      <c r="L32" s="38" t="s">
        <v>517</v>
      </c>
      <c r="M32" s="258" t="s">
        <v>935</v>
      </c>
      <c r="N32" s="259" t="s">
        <v>1019</v>
      </c>
      <c r="O32" s="155"/>
      <c r="P32" s="155"/>
      <c r="Q32" s="99"/>
      <c r="R32" s="81" t="s">
        <v>927</v>
      </c>
      <c r="S32" s="95" t="s">
        <v>692</v>
      </c>
      <c r="T32" s="124" t="s">
        <v>518</v>
      </c>
      <c r="U32" s="156" t="s">
        <v>518</v>
      </c>
      <c r="V32" s="159"/>
      <c r="W32" s="143"/>
      <c r="X32" s="97" t="s">
        <v>1020</v>
      </c>
      <c r="Y32" s="97" t="s">
        <v>641</v>
      </c>
      <c r="Z32" s="169"/>
      <c r="AA32" s="180" t="s">
        <v>962</v>
      </c>
      <c r="AB32" s="178" t="s">
        <v>500</v>
      </c>
      <c r="AC32" s="151"/>
      <c r="AD32" s="151"/>
      <c r="AE32" s="151"/>
      <c r="AF32" s="151"/>
      <c r="AG32" s="151"/>
      <c r="AH32" s="260" t="s">
        <v>839</v>
      </c>
      <c r="AI32" s="159"/>
      <c r="AJ32" s="263">
        <v>44320</v>
      </c>
    </row>
    <row r="33" spans="1:36" ht="12" hidden="1" customHeight="1">
      <c r="A33" s="97" t="s">
        <v>171</v>
      </c>
      <c r="B33" s="76" t="s">
        <v>1021</v>
      </c>
      <c r="C33" s="81" t="s">
        <v>16</v>
      </c>
      <c r="D33" s="81" t="s">
        <v>45</v>
      </c>
      <c r="E33" s="81" t="s">
        <v>18</v>
      </c>
      <c r="F33" s="95" t="s">
        <v>42</v>
      </c>
      <c r="G33" s="81" t="s">
        <v>348</v>
      </c>
      <c r="H33" s="76" t="s">
        <v>502</v>
      </c>
      <c r="I33" s="87" t="s">
        <v>1022</v>
      </c>
      <c r="J33" s="49"/>
      <c r="K33" s="95" t="s">
        <v>507</v>
      </c>
      <c r="L33" s="38" t="s">
        <v>517</v>
      </c>
      <c r="M33" s="258" t="s">
        <v>916</v>
      </c>
      <c r="N33" s="259" t="s">
        <v>693</v>
      </c>
      <c r="O33" s="155"/>
      <c r="P33" s="155"/>
      <c r="Q33" s="99"/>
      <c r="R33" s="81" t="s">
        <v>489</v>
      </c>
      <c r="S33" s="95" t="s">
        <v>682</v>
      </c>
      <c r="T33" s="124" t="s">
        <v>518</v>
      </c>
      <c r="U33" s="156" t="s">
        <v>518</v>
      </c>
      <c r="V33" s="159"/>
      <c r="W33" s="143"/>
      <c r="X33" s="97" t="s">
        <v>608</v>
      </c>
      <c r="Y33" s="97" t="s">
        <v>644</v>
      </c>
      <c r="Z33" s="169"/>
      <c r="AA33" s="180"/>
      <c r="AB33" s="178" t="s">
        <v>500</v>
      </c>
      <c r="AC33" s="151"/>
      <c r="AD33" s="151"/>
      <c r="AE33" s="151"/>
      <c r="AF33" s="151"/>
      <c r="AG33" s="151"/>
      <c r="AH33" s="260" t="s">
        <v>839</v>
      </c>
      <c r="AI33" s="159"/>
      <c r="AJ33" s="261"/>
    </row>
    <row r="34" spans="1:36" ht="12" hidden="1" customHeight="1">
      <c r="A34" s="97" t="s">
        <v>139</v>
      </c>
      <c r="B34" s="76" t="s">
        <v>268</v>
      </c>
      <c r="C34" s="81" t="s">
        <v>17</v>
      </c>
      <c r="D34" s="81" t="s">
        <v>45</v>
      </c>
      <c r="E34" s="81" t="s">
        <v>18</v>
      </c>
      <c r="F34" s="95" t="s">
        <v>42</v>
      </c>
      <c r="G34" s="84" t="s">
        <v>324</v>
      </c>
      <c r="H34" s="76" t="s">
        <v>268</v>
      </c>
      <c r="I34" s="87" t="s">
        <v>848</v>
      </c>
      <c r="J34" s="49"/>
      <c r="K34" s="81" t="s">
        <v>507</v>
      </c>
      <c r="L34" s="38" t="s">
        <v>934</v>
      </c>
      <c r="M34" s="258" t="s">
        <v>43</v>
      </c>
      <c r="N34" s="259"/>
      <c r="O34" s="155"/>
      <c r="P34" s="155"/>
      <c r="Q34" s="78" t="s">
        <v>1023</v>
      </c>
      <c r="R34" s="81" t="s">
        <v>490</v>
      </c>
      <c r="S34" s="81" t="s">
        <v>1024</v>
      </c>
      <c r="T34" s="124" t="s">
        <v>518</v>
      </c>
      <c r="U34" s="156" t="s">
        <v>518</v>
      </c>
      <c r="V34" s="159"/>
      <c r="W34" s="143"/>
      <c r="X34" s="97" t="s">
        <v>1024</v>
      </c>
      <c r="Y34" s="97" t="s">
        <v>646</v>
      </c>
      <c r="Z34" s="169"/>
      <c r="AA34" s="179"/>
      <c r="AB34" s="178" t="s">
        <v>500</v>
      </c>
      <c r="AC34" s="151"/>
      <c r="AD34" s="151"/>
      <c r="AE34" s="151"/>
      <c r="AF34" s="151"/>
      <c r="AG34" s="151"/>
      <c r="AH34" s="260" t="s">
        <v>845</v>
      </c>
      <c r="AI34" s="159"/>
      <c r="AJ34" s="261"/>
    </row>
    <row r="35" spans="1:36" ht="12" hidden="1" customHeight="1">
      <c r="A35" s="97" t="s">
        <v>140</v>
      </c>
      <c r="B35" s="76" t="s">
        <v>1025</v>
      </c>
      <c r="C35" s="81" t="s">
        <v>17</v>
      </c>
      <c r="D35" s="81" t="s">
        <v>45</v>
      </c>
      <c r="E35" s="81" t="s">
        <v>18</v>
      </c>
      <c r="F35" s="95" t="s">
        <v>42</v>
      </c>
      <c r="G35" s="84" t="s">
        <v>694</v>
      </c>
      <c r="H35" s="76" t="s">
        <v>1025</v>
      </c>
      <c r="I35" s="87" t="s">
        <v>1026</v>
      </c>
      <c r="J35" s="49"/>
      <c r="K35" s="81" t="s">
        <v>507</v>
      </c>
      <c r="L35" s="38" t="s">
        <v>517</v>
      </c>
      <c r="M35" s="258" t="s">
        <v>43</v>
      </c>
      <c r="N35" s="259"/>
      <c r="O35" s="155"/>
      <c r="P35" s="155"/>
      <c r="Q35" s="78" t="s">
        <v>1023</v>
      </c>
      <c r="R35" s="81" t="s">
        <v>1027</v>
      </c>
      <c r="S35" s="81" t="s">
        <v>1028</v>
      </c>
      <c r="T35" s="124" t="s">
        <v>518</v>
      </c>
      <c r="U35" s="156" t="s">
        <v>518</v>
      </c>
      <c r="V35" s="159"/>
      <c r="W35" s="143"/>
      <c r="X35" s="97" t="s">
        <v>608</v>
      </c>
      <c r="Y35" s="97" t="s">
        <v>647</v>
      </c>
      <c r="Z35" s="169"/>
      <c r="AA35" s="179"/>
      <c r="AB35" s="178" t="s">
        <v>500</v>
      </c>
      <c r="AC35" s="151"/>
      <c r="AD35" s="151"/>
      <c r="AE35" s="151"/>
      <c r="AF35" s="151"/>
      <c r="AG35" s="151"/>
      <c r="AH35" s="260" t="s">
        <v>845</v>
      </c>
      <c r="AI35" s="159"/>
      <c r="AJ35" s="261"/>
    </row>
    <row r="36" spans="1:36" ht="12" hidden="1" customHeight="1">
      <c r="A36" s="97" t="s">
        <v>141</v>
      </c>
      <c r="B36" s="76" t="s">
        <v>269</v>
      </c>
      <c r="C36" s="81" t="s">
        <v>17</v>
      </c>
      <c r="D36" s="81" t="s">
        <v>45</v>
      </c>
      <c r="E36" s="81" t="s">
        <v>18</v>
      </c>
      <c r="F36" s="95" t="s">
        <v>42</v>
      </c>
      <c r="G36" s="84" t="s">
        <v>325</v>
      </c>
      <c r="H36" s="76" t="s">
        <v>269</v>
      </c>
      <c r="I36" s="87" t="s">
        <v>831</v>
      </c>
      <c r="J36" s="49"/>
      <c r="K36" s="81" t="s">
        <v>507</v>
      </c>
      <c r="L36" s="38" t="s">
        <v>934</v>
      </c>
      <c r="M36" s="258" t="s">
        <v>43</v>
      </c>
      <c r="N36" s="259"/>
      <c r="O36" s="155"/>
      <c r="P36" s="155"/>
      <c r="Q36" s="78" t="s">
        <v>849</v>
      </c>
      <c r="R36" s="81" t="s">
        <v>490</v>
      </c>
      <c r="S36" s="81" t="s">
        <v>1028</v>
      </c>
      <c r="T36" s="124" t="s">
        <v>518</v>
      </c>
      <c r="U36" s="156" t="s">
        <v>518</v>
      </c>
      <c r="V36" s="159"/>
      <c r="W36" s="143"/>
      <c r="X36" s="97" t="s">
        <v>1028</v>
      </c>
      <c r="Y36" s="97" t="s">
        <v>648</v>
      </c>
      <c r="Z36" s="169"/>
      <c r="AA36" s="179"/>
      <c r="AB36" s="178"/>
      <c r="AC36" s="151"/>
      <c r="AD36" s="151"/>
      <c r="AE36" s="151"/>
      <c r="AF36" s="151"/>
      <c r="AG36" s="151"/>
      <c r="AH36" s="260" t="s">
        <v>845</v>
      </c>
      <c r="AI36" s="159"/>
      <c r="AJ36" s="261"/>
    </row>
    <row r="37" spans="1:36" ht="12" hidden="1" customHeight="1">
      <c r="A37" s="170" t="s">
        <v>165</v>
      </c>
      <c r="B37" s="224" t="s">
        <v>279</v>
      </c>
      <c r="C37" s="83" t="s">
        <v>16</v>
      </c>
      <c r="D37" s="83" t="s">
        <v>45</v>
      </c>
      <c r="E37" s="83" t="s">
        <v>40</v>
      </c>
      <c r="F37" s="170" t="s">
        <v>939</v>
      </c>
      <c r="G37" s="83" t="s">
        <v>341</v>
      </c>
      <c r="H37" s="224" t="s">
        <v>1029</v>
      </c>
      <c r="I37" s="227" t="s">
        <v>853</v>
      </c>
      <c r="J37" s="49"/>
      <c r="K37" s="83" t="s">
        <v>481</v>
      </c>
      <c r="L37" s="48" t="s">
        <v>934</v>
      </c>
      <c r="M37" s="264" t="s">
        <v>44</v>
      </c>
      <c r="N37" s="265" t="s">
        <v>869</v>
      </c>
      <c r="O37" s="155"/>
      <c r="P37" s="155"/>
      <c r="Q37" s="143" t="s">
        <v>1030</v>
      </c>
      <c r="R37" s="83" t="s">
        <v>489</v>
      </c>
      <c r="S37" s="170" t="s">
        <v>1031</v>
      </c>
      <c r="T37" s="124" t="s">
        <v>1032</v>
      </c>
      <c r="U37" s="97" t="s">
        <v>599</v>
      </c>
      <c r="V37" s="97" t="s">
        <v>1033</v>
      </c>
      <c r="W37" s="143" t="s">
        <v>695</v>
      </c>
      <c r="X37" s="97" t="s">
        <v>696</v>
      </c>
      <c r="Y37" s="97" t="s">
        <v>659</v>
      </c>
      <c r="Z37" s="174"/>
      <c r="AA37" s="180"/>
      <c r="AB37" s="178"/>
      <c r="AC37" s="151"/>
      <c r="AD37" s="151"/>
      <c r="AE37" s="151"/>
      <c r="AF37" s="151"/>
      <c r="AG37" s="151"/>
      <c r="AH37" s="260" t="s">
        <v>838</v>
      </c>
      <c r="AI37" s="159" t="s">
        <v>866</v>
      </c>
      <c r="AJ37" s="261"/>
    </row>
    <row r="38" spans="1:36" ht="12" hidden="1" customHeight="1">
      <c r="A38" s="97" t="s">
        <v>1034</v>
      </c>
      <c r="B38" s="76" t="s">
        <v>314</v>
      </c>
      <c r="C38" s="81" t="s">
        <v>16</v>
      </c>
      <c r="D38" s="81" t="s">
        <v>45</v>
      </c>
      <c r="E38" s="81" t="s">
        <v>18</v>
      </c>
      <c r="F38" s="95" t="s">
        <v>42</v>
      </c>
      <c r="G38" s="81" t="s">
        <v>1035</v>
      </c>
      <c r="H38" s="85" t="s">
        <v>1036</v>
      </c>
      <c r="I38" s="87" t="s">
        <v>750</v>
      </c>
      <c r="J38" s="49"/>
      <c r="K38" s="95" t="s">
        <v>507</v>
      </c>
      <c r="L38" s="38" t="s">
        <v>934</v>
      </c>
      <c r="M38" s="258" t="s">
        <v>43</v>
      </c>
      <c r="N38" s="259"/>
      <c r="O38" s="155"/>
      <c r="P38" s="155"/>
      <c r="Q38" s="78" t="s">
        <v>925</v>
      </c>
      <c r="R38" s="81" t="s">
        <v>927</v>
      </c>
      <c r="S38" s="81" t="s">
        <v>1037</v>
      </c>
      <c r="T38" s="124" t="s">
        <v>518</v>
      </c>
      <c r="U38" s="156" t="s">
        <v>518</v>
      </c>
      <c r="V38" s="159"/>
      <c r="W38" s="143"/>
      <c r="X38" s="97" t="s">
        <v>1038</v>
      </c>
      <c r="Y38" s="97" t="s">
        <v>639</v>
      </c>
      <c r="Z38" s="169"/>
      <c r="AA38" s="179"/>
      <c r="AB38" s="178" t="s">
        <v>500</v>
      </c>
      <c r="AC38" s="151"/>
      <c r="AD38" s="151"/>
      <c r="AE38" s="151"/>
      <c r="AF38" s="151"/>
      <c r="AG38" s="151"/>
      <c r="AH38" s="260" t="s">
        <v>838</v>
      </c>
      <c r="AI38" s="159"/>
      <c r="AJ38" s="261"/>
    </row>
    <row r="39" spans="1:36" ht="12" hidden="1" customHeight="1">
      <c r="A39" s="245" t="s">
        <v>1039</v>
      </c>
      <c r="B39" s="223" t="s">
        <v>1040</v>
      </c>
      <c r="C39" s="83" t="s">
        <v>16</v>
      </c>
      <c r="D39" s="83" t="s">
        <v>45</v>
      </c>
      <c r="E39" s="83" t="s">
        <v>19</v>
      </c>
      <c r="F39" s="170" t="s">
        <v>41</v>
      </c>
      <c r="G39" s="83" t="s">
        <v>698</v>
      </c>
      <c r="H39" s="223" t="s">
        <v>697</v>
      </c>
      <c r="I39" s="92" t="s">
        <v>1041</v>
      </c>
      <c r="J39" s="49"/>
      <c r="K39" s="170" t="s">
        <v>507</v>
      </c>
      <c r="L39" s="48" t="s">
        <v>517</v>
      </c>
      <c r="M39" s="266" t="s">
        <v>44</v>
      </c>
      <c r="N39" s="265" t="s">
        <v>1042</v>
      </c>
      <c r="O39" s="155"/>
      <c r="P39" s="155"/>
      <c r="Q39" s="143" t="s">
        <v>1043</v>
      </c>
      <c r="R39" s="81" t="s">
        <v>927</v>
      </c>
      <c r="S39" s="95" t="s">
        <v>1006</v>
      </c>
      <c r="T39" s="124" t="s">
        <v>518</v>
      </c>
      <c r="U39" s="95"/>
      <c r="V39" s="95"/>
      <c r="W39" s="143"/>
      <c r="X39" s="97" t="s">
        <v>699</v>
      </c>
      <c r="Y39" s="97" t="s">
        <v>634</v>
      </c>
      <c r="Z39" s="174"/>
      <c r="AA39" s="180" t="s">
        <v>1044</v>
      </c>
      <c r="AB39" s="178" t="s">
        <v>500</v>
      </c>
      <c r="AC39" s="151"/>
      <c r="AD39" s="151"/>
      <c r="AE39" s="151"/>
      <c r="AF39" s="151"/>
      <c r="AG39" s="151"/>
      <c r="AH39" s="260" t="s">
        <v>838</v>
      </c>
      <c r="AI39" s="159" t="s">
        <v>866</v>
      </c>
      <c r="AJ39" s="261"/>
    </row>
    <row r="40" spans="1:36" ht="12" hidden="1" customHeight="1">
      <c r="A40" s="137" t="s">
        <v>519</v>
      </c>
      <c r="B40" s="125" t="s">
        <v>520</v>
      </c>
      <c r="C40" s="103" t="s">
        <v>17</v>
      </c>
      <c r="D40" s="103" t="s">
        <v>45</v>
      </c>
      <c r="E40" s="103" t="s">
        <v>18</v>
      </c>
      <c r="F40" s="109" t="s">
        <v>42</v>
      </c>
      <c r="G40" s="132" t="s">
        <v>1045</v>
      </c>
      <c r="H40" s="125" t="s">
        <v>520</v>
      </c>
      <c r="I40" s="88" t="s">
        <v>521</v>
      </c>
      <c r="J40" s="107"/>
      <c r="K40" s="103" t="s">
        <v>522</v>
      </c>
      <c r="L40" s="103" t="s">
        <v>523</v>
      </c>
      <c r="M40" s="258" t="s">
        <v>524</v>
      </c>
      <c r="N40" s="259"/>
      <c r="O40" s="110"/>
      <c r="P40" s="110"/>
      <c r="Q40" s="259" t="s">
        <v>827</v>
      </c>
      <c r="R40" s="81" t="s">
        <v>1046</v>
      </c>
      <c r="S40" s="103" t="s">
        <v>523</v>
      </c>
      <c r="T40" s="124" t="s">
        <v>518</v>
      </c>
      <c r="U40" s="163" t="s">
        <v>518</v>
      </c>
      <c r="V40" s="164"/>
      <c r="W40" s="98"/>
      <c r="X40" s="129" t="s">
        <v>1047</v>
      </c>
      <c r="Y40" s="97" t="s">
        <v>684</v>
      </c>
      <c r="Z40" s="169"/>
      <c r="AA40" s="182"/>
      <c r="AB40" s="178"/>
      <c r="AC40" s="151"/>
      <c r="AD40" s="151"/>
      <c r="AE40" s="151"/>
      <c r="AF40" s="151"/>
      <c r="AG40" s="151"/>
      <c r="AH40" s="260" t="s">
        <v>838</v>
      </c>
      <c r="AI40" s="159"/>
      <c r="AJ40" s="261"/>
    </row>
    <row r="41" spans="1:36" ht="12" hidden="1" customHeight="1">
      <c r="A41" s="137" t="s">
        <v>525</v>
      </c>
      <c r="B41" s="125" t="s">
        <v>526</v>
      </c>
      <c r="C41" s="103" t="s">
        <v>17</v>
      </c>
      <c r="D41" s="103" t="s">
        <v>45</v>
      </c>
      <c r="E41" s="103" t="s">
        <v>18</v>
      </c>
      <c r="F41" s="109" t="s">
        <v>42</v>
      </c>
      <c r="G41" s="132" t="s">
        <v>1048</v>
      </c>
      <c r="H41" s="125" t="s">
        <v>526</v>
      </c>
      <c r="I41" s="88" t="s">
        <v>527</v>
      </c>
      <c r="J41" s="107"/>
      <c r="K41" s="103" t="s">
        <v>522</v>
      </c>
      <c r="L41" s="103" t="s">
        <v>523</v>
      </c>
      <c r="M41" s="258" t="s">
        <v>43</v>
      </c>
      <c r="N41" s="259"/>
      <c r="O41" s="110"/>
      <c r="P41" s="110"/>
      <c r="Q41" s="259" t="s">
        <v>828</v>
      </c>
      <c r="R41" s="81" t="s">
        <v>540</v>
      </c>
      <c r="S41" s="103" t="s">
        <v>523</v>
      </c>
      <c r="T41" s="124" t="s">
        <v>518</v>
      </c>
      <c r="U41" s="163" t="s">
        <v>518</v>
      </c>
      <c r="V41" s="164"/>
      <c r="W41" s="98"/>
      <c r="X41" s="129" t="s">
        <v>616</v>
      </c>
      <c r="Y41" s="97" t="s">
        <v>976</v>
      </c>
      <c r="Z41" s="169"/>
      <c r="AA41" s="182"/>
      <c r="AB41" s="178"/>
      <c r="AC41" s="151"/>
      <c r="AD41" s="151"/>
      <c r="AE41" s="151"/>
      <c r="AF41" s="151"/>
      <c r="AG41" s="151"/>
      <c r="AH41" s="260" t="s">
        <v>838</v>
      </c>
      <c r="AI41" s="159"/>
      <c r="AJ41" s="261"/>
    </row>
    <row r="42" spans="1:36" ht="12" hidden="1" customHeight="1">
      <c r="A42" s="137" t="s">
        <v>311</v>
      </c>
      <c r="B42" s="125" t="s">
        <v>267</v>
      </c>
      <c r="C42" s="103" t="s">
        <v>16</v>
      </c>
      <c r="D42" s="103" t="s">
        <v>45</v>
      </c>
      <c r="E42" s="103" t="s">
        <v>18</v>
      </c>
      <c r="F42" s="109" t="s">
        <v>42</v>
      </c>
      <c r="G42" s="132" t="s">
        <v>1049</v>
      </c>
      <c r="H42" s="125" t="s">
        <v>1050</v>
      </c>
      <c r="I42" s="88" t="s">
        <v>832</v>
      </c>
      <c r="J42" s="107"/>
      <c r="K42" s="103" t="s">
        <v>480</v>
      </c>
      <c r="L42" s="103" t="s">
        <v>523</v>
      </c>
      <c r="M42" s="258" t="s">
        <v>43</v>
      </c>
      <c r="N42" s="259"/>
      <c r="O42" s="110"/>
      <c r="P42" s="110"/>
      <c r="Q42" s="108" t="s">
        <v>532</v>
      </c>
      <c r="R42" s="81" t="s">
        <v>540</v>
      </c>
      <c r="S42" s="103" t="s">
        <v>523</v>
      </c>
      <c r="T42" s="124" t="s">
        <v>518</v>
      </c>
      <c r="U42" s="165" t="s">
        <v>995</v>
      </c>
      <c r="V42" s="165" t="s">
        <v>596</v>
      </c>
      <c r="W42" s="98"/>
      <c r="X42" s="129" t="s">
        <v>638</v>
      </c>
      <c r="Y42" s="97" t="s">
        <v>684</v>
      </c>
      <c r="Z42" s="169"/>
      <c r="AA42" s="182"/>
      <c r="AB42" s="178"/>
      <c r="AC42" s="151"/>
      <c r="AD42" s="151"/>
      <c r="AE42" s="151"/>
      <c r="AF42" s="151"/>
      <c r="AG42" s="151"/>
      <c r="AH42" s="260" t="s">
        <v>838</v>
      </c>
      <c r="AI42" s="159"/>
      <c r="AJ42" s="261"/>
    </row>
    <row r="43" spans="1:36" ht="12" hidden="1" customHeight="1">
      <c r="A43" s="137" t="s">
        <v>528</v>
      </c>
      <c r="B43" s="125" t="s">
        <v>1051</v>
      </c>
      <c r="C43" s="103" t="s">
        <v>16</v>
      </c>
      <c r="D43" s="103" t="s">
        <v>45</v>
      </c>
      <c r="E43" s="103" t="s">
        <v>18</v>
      </c>
      <c r="F43" s="109" t="s">
        <v>362</v>
      </c>
      <c r="G43" s="103" t="s">
        <v>1052</v>
      </c>
      <c r="H43" s="107" t="s">
        <v>1053</v>
      </c>
      <c r="I43" s="88" t="s">
        <v>1054</v>
      </c>
      <c r="J43" s="107"/>
      <c r="K43" s="109" t="s">
        <v>1055</v>
      </c>
      <c r="L43" s="103" t="s">
        <v>523</v>
      </c>
      <c r="M43" s="258" t="s">
        <v>916</v>
      </c>
      <c r="N43" s="259"/>
      <c r="O43" s="110"/>
      <c r="P43" s="110"/>
      <c r="Q43" s="99" t="s">
        <v>1056</v>
      </c>
      <c r="R43" s="81" t="s">
        <v>1057</v>
      </c>
      <c r="S43" s="103" t="s">
        <v>523</v>
      </c>
      <c r="T43" s="124" t="s">
        <v>518</v>
      </c>
      <c r="U43" s="165" t="s">
        <v>595</v>
      </c>
      <c r="V43" s="165" t="s">
        <v>596</v>
      </c>
      <c r="W43" s="98"/>
      <c r="X43" s="129" t="s">
        <v>1020</v>
      </c>
      <c r="Y43" s="97" t="s">
        <v>684</v>
      </c>
      <c r="Z43" s="169"/>
      <c r="AA43" s="182"/>
      <c r="AB43" s="178" t="s">
        <v>500</v>
      </c>
      <c r="AC43" s="151"/>
      <c r="AD43" s="151"/>
      <c r="AE43" s="151"/>
      <c r="AF43" s="151"/>
      <c r="AG43" s="151"/>
      <c r="AH43" s="260" t="s">
        <v>839</v>
      </c>
      <c r="AI43" s="159"/>
      <c r="AJ43" s="261"/>
    </row>
    <row r="44" spans="1:36" ht="12" hidden="1" customHeight="1">
      <c r="A44" s="137" t="s">
        <v>529</v>
      </c>
      <c r="B44" s="125" t="s">
        <v>1058</v>
      </c>
      <c r="C44" s="103" t="s">
        <v>17</v>
      </c>
      <c r="D44" s="103" t="s">
        <v>45</v>
      </c>
      <c r="E44" s="103" t="s">
        <v>18</v>
      </c>
      <c r="F44" s="109" t="s">
        <v>362</v>
      </c>
      <c r="G44" s="133" t="s">
        <v>531</v>
      </c>
      <c r="H44" s="125" t="s">
        <v>530</v>
      </c>
      <c r="I44" s="88" t="s">
        <v>1059</v>
      </c>
      <c r="J44" s="107"/>
      <c r="K44" s="109" t="s">
        <v>993</v>
      </c>
      <c r="L44" s="103" t="s">
        <v>523</v>
      </c>
      <c r="M44" s="258" t="s">
        <v>43</v>
      </c>
      <c r="N44" s="259" t="s">
        <v>700</v>
      </c>
      <c r="O44" s="110"/>
      <c r="P44" s="110"/>
      <c r="Q44" s="99" t="s">
        <v>859</v>
      </c>
      <c r="R44" s="81" t="s">
        <v>1046</v>
      </c>
      <c r="S44" s="103" t="s">
        <v>523</v>
      </c>
      <c r="T44" s="124" t="s">
        <v>518</v>
      </c>
      <c r="U44" s="165" t="s">
        <v>595</v>
      </c>
      <c r="V44" s="165" t="s">
        <v>596</v>
      </c>
      <c r="W44" s="98"/>
      <c r="X44" s="129" t="s">
        <v>1020</v>
      </c>
      <c r="Y44" s="97" t="s">
        <v>976</v>
      </c>
      <c r="Z44" s="169"/>
      <c r="AA44" s="182"/>
      <c r="AB44" s="178"/>
      <c r="AC44" s="151"/>
      <c r="AD44" s="151"/>
      <c r="AE44" s="151"/>
      <c r="AF44" s="151"/>
      <c r="AG44" s="151"/>
      <c r="AH44" s="260" t="s">
        <v>839</v>
      </c>
      <c r="AI44" s="159"/>
      <c r="AJ44" s="261"/>
    </row>
    <row r="45" spans="1:36" ht="12" hidden="1" customHeight="1">
      <c r="A45" s="137" t="s">
        <v>1060</v>
      </c>
      <c r="B45" s="125" t="s">
        <v>1061</v>
      </c>
      <c r="C45" s="103" t="s">
        <v>17</v>
      </c>
      <c r="D45" s="103" t="s">
        <v>45</v>
      </c>
      <c r="E45" s="103" t="s">
        <v>18</v>
      </c>
      <c r="F45" s="109" t="s">
        <v>42</v>
      </c>
      <c r="G45" s="133" t="s">
        <v>536</v>
      </c>
      <c r="H45" s="125" t="s">
        <v>537</v>
      </c>
      <c r="I45" s="88" t="s">
        <v>1062</v>
      </c>
      <c r="J45" s="107"/>
      <c r="K45" s="109" t="s">
        <v>1055</v>
      </c>
      <c r="L45" s="103" t="s">
        <v>538</v>
      </c>
      <c r="M45" s="258" t="s">
        <v>916</v>
      </c>
      <c r="N45" s="259" t="s">
        <v>1063</v>
      </c>
      <c r="O45" s="110"/>
      <c r="P45" s="110"/>
      <c r="Q45" s="99" t="s">
        <v>1064</v>
      </c>
      <c r="R45" s="81" t="s">
        <v>540</v>
      </c>
      <c r="S45" s="103" t="s">
        <v>538</v>
      </c>
      <c r="T45" s="124" t="s">
        <v>518</v>
      </c>
      <c r="U45" s="128" t="s">
        <v>603</v>
      </c>
      <c r="V45" s="128" t="s">
        <v>1065</v>
      </c>
      <c r="W45" s="98"/>
      <c r="X45" s="129" t="s">
        <v>617</v>
      </c>
      <c r="Y45" s="97" t="s">
        <v>1066</v>
      </c>
      <c r="Z45" s="169"/>
      <c r="AA45" s="183"/>
      <c r="AB45" s="178"/>
      <c r="AC45" s="151"/>
      <c r="AD45" s="151"/>
      <c r="AE45" s="151"/>
      <c r="AF45" s="151"/>
      <c r="AG45" s="151"/>
      <c r="AH45" s="260" t="s">
        <v>846</v>
      </c>
      <c r="AI45" s="159"/>
      <c r="AJ45" s="261"/>
    </row>
    <row r="46" spans="1:36" ht="12" hidden="1" customHeight="1">
      <c r="A46" s="97" t="s">
        <v>159</v>
      </c>
      <c r="B46" s="76" t="s">
        <v>276</v>
      </c>
      <c r="C46" s="81" t="s">
        <v>16</v>
      </c>
      <c r="D46" s="81" t="s">
        <v>45</v>
      </c>
      <c r="E46" s="81" t="s">
        <v>18</v>
      </c>
      <c r="F46" s="95" t="s">
        <v>42</v>
      </c>
      <c r="G46" s="81" t="s">
        <v>337</v>
      </c>
      <c r="H46" s="76" t="s">
        <v>1067</v>
      </c>
      <c r="I46" s="87" t="s">
        <v>1068</v>
      </c>
      <c r="J46" s="49"/>
      <c r="K46" s="81" t="s">
        <v>507</v>
      </c>
      <c r="L46" s="38" t="s">
        <v>934</v>
      </c>
      <c r="M46" s="258" t="s">
        <v>43</v>
      </c>
      <c r="N46" s="259"/>
      <c r="O46" s="155"/>
      <c r="P46" s="155"/>
      <c r="Q46" s="99" t="s">
        <v>856</v>
      </c>
      <c r="R46" s="81" t="s">
        <v>918</v>
      </c>
      <c r="S46" s="97" t="s">
        <v>1069</v>
      </c>
      <c r="T46" s="124" t="s">
        <v>518</v>
      </c>
      <c r="U46" s="156" t="s">
        <v>518</v>
      </c>
      <c r="V46" s="159"/>
      <c r="W46" s="143"/>
      <c r="X46" s="97" t="s">
        <v>614</v>
      </c>
      <c r="Y46" s="97" t="s">
        <v>639</v>
      </c>
      <c r="Z46" s="169"/>
      <c r="AA46" s="179"/>
      <c r="AB46" s="178"/>
      <c r="AC46" s="151"/>
      <c r="AD46" s="151"/>
      <c r="AE46" s="151"/>
      <c r="AF46" s="151"/>
      <c r="AG46" s="151"/>
      <c r="AH46" s="260" t="s">
        <v>838</v>
      </c>
      <c r="AI46" s="159"/>
      <c r="AJ46" s="261"/>
    </row>
    <row r="47" spans="1:36" ht="12" hidden="1" customHeight="1">
      <c r="A47" s="97" t="s">
        <v>172</v>
      </c>
      <c r="B47" s="76" t="s">
        <v>1070</v>
      </c>
      <c r="C47" s="81" t="s">
        <v>16</v>
      </c>
      <c r="D47" s="81" t="s">
        <v>45</v>
      </c>
      <c r="E47" s="81" t="s">
        <v>18</v>
      </c>
      <c r="F47" s="95" t="s">
        <v>42</v>
      </c>
      <c r="G47" s="81" t="s">
        <v>349</v>
      </c>
      <c r="H47" s="76" t="s">
        <v>350</v>
      </c>
      <c r="I47" s="87" t="s">
        <v>1071</v>
      </c>
      <c r="J47" s="49"/>
      <c r="K47" s="95" t="s">
        <v>507</v>
      </c>
      <c r="L47" s="38" t="s">
        <v>934</v>
      </c>
      <c r="M47" s="258" t="s">
        <v>43</v>
      </c>
      <c r="N47" s="259"/>
      <c r="O47" s="155"/>
      <c r="P47" s="155"/>
      <c r="Q47" s="99" t="s">
        <v>860</v>
      </c>
      <c r="R47" s="81" t="s">
        <v>1072</v>
      </c>
      <c r="S47" s="97" t="s">
        <v>496</v>
      </c>
      <c r="T47" s="124" t="s">
        <v>518</v>
      </c>
      <c r="U47" s="84" t="s">
        <v>604</v>
      </c>
      <c r="V47" s="148" t="s">
        <v>702</v>
      </c>
      <c r="W47" s="143" t="s">
        <v>703</v>
      </c>
      <c r="X47" s="97" t="s">
        <v>704</v>
      </c>
      <c r="Y47" s="97" t="s">
        <v>639</v>
      </c>
      <c r="Z47" s="169"/>
      <c r="AA47" s="179"/>
      <c r="AB47" s="178"/>
      <c r="AC47" s="151"/>
      <c r="AD47" s="151"/>
      <c r="AE47" s="151"/>
      <c r="AF47" s="151"/>
      <c r="AG47" s="151"/>
      <c r="AH47" s="260" t="s">
        <v>840</v>
      </c>
      <c r="AI47" s="159"/>
      <c r="AJ47" s="261"/>
    </row>
    <row r="48" spans="1:36" ht="12" hidden="1" customHeight="1">
      <c r="A48" s="97" t="s">
        <v>1073</v>
      </c>
      <c r="B48" s="76" t="s">
        <v>748</v>
      </c>
      <c r="C48" s="81" t="s">
        <v>16</v>
      </c>
      <c r="D48" s="81" t="s">
        <v>45</v>
      </c>
      <c r="E48" s="81" t="s">
        <v>18</v>
      </c>
      <c r="F48" s="95" t="s">
        <v>42</v>
      </c>
      <c r="G48" s="81" t="s">
        <v>514</v>
      </c>
      <c r="H48" s="76" t="s">
        <v>513</v>
      </c>
      <c r="I48" s="87" t="s">
        <v>1074</v>
      </c>
      <c r="J48" s="49"/>
      <c r="K48" s="95" t="s">
        <v>507</v>
      </c>
      <c r="L48" s="38" t="s">
        <v>517</v>
      </c>
      <c r="M48" s="258" t="s">
        <v>43</v>
      </c>
      <c r="N48" s="259"/>
      <c r="O48" s="155"/>
      <c r="P48" s="155"/>
      <c r="Q48" s="78"/>
      <c r="R48" s="81" t="s">
        <v>489</v>
      </c>
      <c r="S48" s="81" t="s">
        <v>1011</v>
      </c>
      <c r="T48" s="124" t="s">
        <v>518</v>
      </c>
      <c r="U48" s="156" t="s">
        <v>518</v>
      </c>
      <c r="V48" s="159"/>
      <c r="W48" s="143"/>
      <c r="X48" s="97" t="s">
        <v>743</v>
      </c>
      <c r="Y48" s="97" t="s">
        <v>634</v>
      </c>
      <c r="Z48" s="169"/>
      <c r="AA48" s="181"/>
      <c r="AB48" s="178"/>
      <c r="AC48" s="151"/>
      <c r="AD48" s="151"/>
      <c r="AE48" s="151"/>
      <c r="AF48" s="151"/>
      <c r="AG48" s="151"/>
      <c r="AH48" s="260" t="s">
        <v>838</v>
      </c>
      <c r="AI48" s="159"/>
      <c r="AJ48" s="261"/>
    </row>
    <row r="49" spans="1:36" ht="12" hidden="1" customHeight="1">
      <c r="A49" s="97" t="s">
        <v>173</v>
      </c>
      <c r="B49" s="76" t="s">
        <v>281</v>
      </c>
      <c r="C49" s="81" t="s">
        <v>16</v>
      </c>
      <c r="D49" s="81" t="s">
        <v>45</v>
      </c>
      <c r="E49" s="81" t="s">
        <v>18</v>
      </c>
      <c r="F49" s="95" t="s">
        <v>42</v>
      </c>
      <c r="G49" s="81" t="s">
        <v>351</v>
      </c>
      <c r="H49" s="76" t="s">
        <v>352</v>
      </c>
      <c r="I49" s="87" t="s">
        <v>705</v>
      </c>
      <c r="J49" s="49"/>
      <c r="K49" s="95" t="s">
        <v>507</v>
      </c>
      <c r="L49" s="38" t="s">
        <v>517</v>
      </c>
      <c r="M49" s="258" t="s">
        <v>43</v>
      </c>
      <c r="N49" s="259"/>
      <c r="O49" s="155"/>
      <c r="P49" s="155"/>
      <c r="Q49" s="99" t="s">
        <v>1075</v>
      </c>
      <c r="R49" s="81" t="s">
        <v>492</v>
      </c>
      <c r="S49" s="97" t="s">
        <v>496</v>
      </c>
      <c r="T49" s="124" t="s">
        <v>518</v>
      </c>
      <c r="U49" s="84" t="s">
        <v>604</v>
      </c>
      <c r="V49" s="148" t="s">
        <v>1076</v>
      </c>
      <c r="W49" s="143" t="s">
        <v>703</v>
      </c>
      <c r="X49" s="97" t="s">
        <v>1077</v>
      </c>
      <c r="Y49" s="97" t="s">
        <v>639</v>
      </c>
      <c r="Z49" s="169"/>
      <c r="AA49" s="179"/>
      <c r="AB49" s="178"/>
      <c r="AC49" s="151"/>
      <c r="AD49" s="151"/>
      <c r="AE49" s="151"/>
      <c r="AF49" s="151"/>
      <c r="AG49" s="151"/>
      <c r="AH49" s="260" t="s">
        <v>840</v>
      </c>
      <c r="AI49" s="159"/>
      <c r="AJ49" s="261"/>
    </row>
    <row r="50" spans="1:36" ht="12" hidden="1" customHeight="1">
      <c r="A50" s="170" t="s">
        <v>173</v>
      </c>
      <c r="B50" s="223" t="s">
        <v>1078</v>
      </c>
      <c r="C50" s="83" t="s">
        <v>16</v>
      </c>
      <c r="D50" s="83" t="s">
        <v>45</v>
      </c>
      <c r="E50" s="83" t="s">
        <v>19</v>
      </c>
      <c r="F50" s="170" t="s">
        <v>42</v>
      </c>
      <c r="G50" s="83" t="s">
        <v>1079</v>
      </c>
      <c r="H50" s="223" t="s">
        <v>1080</v>
      </c>
      <c r="I50" s="93" t="s">
        <v>515</v>
      </c>
      <c r="J50" s="49"/>
      <c r="K50" s="170" t="s">
        <v>507</v>
      </c>
      <c r="L50" s="48" t="s">
        <v>517</v>
      </c>
      <c r="M50" s="264" t="s">
        <v>44</v>
      </c>
      <c r="N50" s="267" t="s">
        <v>1081</v>
      </c>
      <c r="O50" s="155"/>
      <c r="P50" s="155"/>
      <c r="Q50" s="143" t="s">
        <v>1082</v>
      </c>
      <c r="R50" s="83" t="s">
        <v>492</v>
      </c>
      <c r="S50" s="170" t="s">
        <v>496</v>
      </c>
      <c r="T50" s="124" t="s">
        <v>518</v>
      </c>
      <c r="U50" s="156" t="s">
        <v>518</v>
      </c>
      <c r="V50" s="159"/>
      <c r="W50" s="143"/>
      <c r="X50" s="97" t="s">
        <v>609</v>
      </c>
      <c r="Y50" s="97" t="s">
        <v>639</v>
      </c>
      <c r="Z50" s="169"/>
      <c r="AA50" s="179"/>
      <c r="AB50" s="178"/>
      <c r="AC50" s="151"/>
      <c r="AD50" s="151"/>
      <c r="AE50" s="151"/>
      <c r="AF50" s="151"/>
      <c r="AG50" s="151"/>
      <c r="AH50" s="260" t="s">
        <v>840</v>
      </c>
      <c r="AI50" s="159" t="s">
        <v>942</v>
      </c>
      <c r="AJ50" s="261"/>
    </row>
    <row r="51" spans="1:36" ht="12" hidden="1" customHeight="1">
      <c r="A51" s="97" t="s">
        <v>255</v>
      </c>
      <c r="B51" s="76" t="s">
        <v>1083</v>
      </c>
      <c r="C51" s="81" t="s">
        <v>16</v>
      </c>
      <c r="D51" s="81" t="s">
        <v>45</v>
      </c>
      <c r="E51" s="81" t="s">
        <v>18</v>
      </c>
      <c r="F51" s="95" t="s">
        <v>42</v>
      </c>
      <c r="G51" s="81" t="s">
        <v>1084</v>
      </c>
      <c r="H51" s="76" t="s">
        <v>1085</v>
      </c>
      <c r="I51" s="102" t="s">
        <v>1086</v>
      </c>
      <c r="J51" s="49"/>
      <c r="K51" s="95" t="s">
        <v>507</v>
      </c>
      <c r="L51" s="38" t="s">
        <v>517</v>
      </c>
      <c r="M51" s="258" t="s">
        <v>505</v>
      </c>
      <c r="N51" s="259" t="s">
        <v>1087</v>
      </c>
      <c r="O51" s="155"/>
      <c r="P51" s="155"/>
      <c r="Q51" s="78" t="s">
        <v>751</v>
      </c>
      <c r="R51" s="81" t="s">
        <v>1088</v>
      </c>
      <c r="S51" s="81" t="s">
        <v>706</v>
      </c>
      <c r="T51" s="124" t="s">
        <v>606</v>
      </c>
      <c r="U51" s="156" t="s">
        <v>707</v>
      </c>
      <c r="V51" s="159" t="s">
        <v>708</v>
      </c>
      <c r="W51" s="143"/>
      <c r="X51" s="97" t="s">
        <v>743</v>
      </c>
      <c r="Y51" s="97" t="s">
        <v>701</v>
      </c>
      <c r="Z51" s="169" t="s">
        <v>962</v>
      </c>
      <c r="AA51" s="180"/>
      <c r="AB51" s="178"/>
      <c r="AC51" s="151"/>
      <c r="AD51" s="151"/>
      <c r="AE51" s="151"/>
      <c r="AF51" s="151"/>
      <c r="AG51" s="151"/>
      <c r="AH51" s="260" t="s">
        <v>838</v>
      </c>
      <c r="AI51" s="159"/>
      <c r="AJ51" s="263">
        <v>44320</v>
      </c>
    </row>
    <row r="52" spans="1:36" ht="12" hidden="1" customHeight="1">
      <c r="A52" s="170" t="s">
        <v>173</v>
      </c>
      <c r="B52" s="223" t="s">
        <v>282</v>
      </c>
      <c r="C52" s="83" t="s">
        <v>16</v>
      </c>
      <c r="D52" s="83" t="s">
        <v>45</v>
      </c>
      <c r="E52" s="83" t="s">
        <v>19</v>
      </c>
      <c r="F52" s="170" t="s">
        <v>42</v>
      </c>
      <c r="G52" s="83" t="s">
        <v>353</v>
      </c>
      <c r="H52" s="223" t="s">
        <v>1089</v>
      </c>
      <c r="I52" s="93" t="s">
        <v>1090</v>
      </c>
      <c r="J52" s="49"/>
      <c r="K52" s="170" t="s">
        <v>507</v>
      </c>
      <c r="L52" s="48" t="s">
        <v>517</v>
      </c>
      <c r="M52" s="264" t="s">
        <v>44</v>
      </c>
      <c r="N52" s="267" t="s">
        <v>870</v>
      </c>
      <c r="O52" s="155"/>
      <c r="P52" s="155"/>
      <c r="Q52" s="143" t="s">
        <v>1082</v>
      </c>
      <c r="R52" s="83" t="s">
        <v>492</v>
      </c>
      <c r="S52" s="83" t="s">
        <v>76</v>
      </c>
      <c r="T52" s="124" t="s">
        <v>518</v>
      </c>
      <c r="U52" s="156" t="s">
        <v>518</v>
      </c>
      <c r="V52" s="159"/>
      <c r="W52" s="143"/>
      <c r="X52" s="97" t="s">
        <v>1016</v>
      </c>
      <c r="Y52" s="97" t="s">
        <v>639</v>
      </c>
      <c r="Z52" s="169"/>
      <c r="AA52" s="179"/>
      <c r="AB52" s="178"/>
      <c r="AC52" s="151"/>
      <c r="AD52" s="151"/>
      <c r="AE52" s="151"/>
      <c r="AF52" s="151"/>
      <c r="AG52" s="151"/>
      <c r="AH52" s="260" t="s">
        <v>840</v>
      </c>
      <c r="AI52" s="159" t="s">
        <v>866</v>
      </c>
      <c r="AJ52" s="261"/>
    </row>
    <row r="53" spans="1:36" ht="12" hidden="1" customHeight="1">
      <c r="A53" s="97" t="s">
        <v>1091</v>
      </c>
      <c r="B53" s="76" t="s">
        <v>283</v>
      </c>
      <c r="C53" s="81" t="s">
        <v>16</v>
      </c>
      <c r="D53" s="81" t="s">
        <v>45</v>
      </c>
      <c r="E53" s="81" t="s">
        <v>18</v>
      </c>
      <c r="F53" s="95" t="s">
        <v>42</v>
      </c>
      <c r="G53" s="81" t="s">
        <v>354</v>
      </c>
      <c r="H53" s="76" t="s">
        <v>355</v>
      </c>
      <c r="I53" s="87" t="s">
        <v>854</v>
      </c>
      <c r="J53" s="49"/>
      <c r="K53" s="95" t="s">
        <v>507</v>
      </c>
      <c r="L53" s="38" t="s">
        <v>517</v>
      </c>
      <c r="M53" s="258" t="s">
        <v>43</v>
      </c>
      <c r="N53" s="259"/>
      <c r="O53" s="155"/>
      <c r="P53" s="155"/>
      <c r="Q53" s="99" t="s">
        <v>860</v>
      </c>
      <c r="R53" s="81" t="s">
        <v>1072</v>
      </c>
      <c r="S53" s="97" t="s">
        <v>496</v>
      </c>
      <c r="T53" s="124" t="s">
        <v>518</v>
      </c>
      <c r="U53" s="156" t="s">
        <v>518</v>
      </c>
      <c r="V53" s="159"/>
      <c r="W53" s="143"/>
      <c r="X53" s="97" t="s">
        <v>1077</v>
      </c>
      <c r="Y53" s="97" t="s">
        <v>639</v>
      </c>
      <c r="Z53" s="169"/>
      <c r="AA53" s="179"/>
      <c r="AB53" s="178"/>
      <c r="AC53" s="151"/>
      <c r="AD53" s="151"/>
      <c r="AE53" s="151"/>
      <c r="AF53" s="151"/>
      <c r="AG53" s="151"/>
      <c r="AH53" s="260" t="s">
        <v>840</v>
      </c>
      <c r="AI53" s="159"/>
      <c r="AJ53" s="261"/>
    </row>
    <row r="54" spans="1:36" ht="12" hidden="1" customHeight="1">
      <c r="A54" s="97" t="s">
        <v>174</v>
      </c>
      <c r="B54" s="76" t="s">
        <v>284</v>
      </c>
      <c r="C54" s="81" t="s">
        <v>16</v>
      </c>
      <c r="D54" s="81" t="s">
        <v>45</v>
      </c>
      <c r="E54" s="81" t="s">
        <v>18</v>
      </c>
      <c r="F54" s="95" t="s">
        <v>42</v>
      </c>
      <c r="G54" s="81" t="s">
        <v>356</v>
      </c>
      <c r="H54" s="76" t="s">
        <v>284</v>
      </c>
      <c r="I54" s="87" t="s">
        <v>1092</v>
      </c>
      <c r="J54" s="49"/>
      <c r="K54" s="95" t="s">
        <v>507</v>
      </c>
      <c r="L54" s="38" t="s">
        <v>517</v>
      </c>
      <c r="M54" s="258" t="s">
        <v>43</v>
      </c>
      <c r="N54" s="259"/>
      <c r="O54" s="155"/>
      <c r="P54" s="155"/>
      <c r="Q54" s="99" t="s">
        <v>860</v>
      </c>
      <c r="R54" s="81" t="s">
        <v>492</v>
      </c>
      <c r="S54" s="97" t="s">
        <v>496</v>
      </c>
      <c r="T54" s="124" t="s">
        <v>518</v>
      </c>
      <c r="U54" s="84" t="s">
        <v>604</v>
      </c>
      <c r="V54" s="148" t="s">
        <v>709</v>
      </c>
      <c r="W54" s="143" t="s">
        <v>710</v>
      </c>
      <c r="X54" s="97" t="s">
        <v>1077</v>
      </c>
      <c r="Y54" s="97" t="s">
        <v>639</v>
      </c>
      <c r="Z54" s="169"/>
      <c r="AA54" s="179"/>
      <c r="AB54" s="178"/>
      <c r="AC54" s="151"/>
      <c r="AD54" s="151"/>
      <c r="AE54" s="151"/>
      <c r="AF54" s="151"/>
      <c r="AG54" s="151"/>
      <c r="AH54" s="260" t="s">
        <v>840</v>
      </c>
      <c r="AI54" s="159"/>
      <c r="AJ54" s="261"/>
    </row>
    <row r="55" spans="1:36" ht="12" hidden="1" customHeight="1">
      <c r="A55" s="97" t="s">
        <v>175</v>
      </c>
      <c r="B55" s="76" t="s">
        <v>285</v>
      </c>
      <c r="C55" s="81" t="s">
        <v>16</v>
      </c>
      <c r="D55" s="81" t="s">
        <v>45</v>
      </c>
      <c r="E55" s="81" t="s">
        <v>18</v>
      </c>
      <c r="F55" s="95" t="s">
        <v>42</v>
      </c>
      <c r="G55" s="81" t="s">
        <v>357</v>
      </c>
      <c r="H55" s="76" t="s">
        <v>1093</v>
      </c>
      <c r="I55" s="87" t="s">
        <v>754</v>
      </c>
      <c r="J55" s="49"/>
      <c r="K55" s="95" t="s">
        <v>507</v>
      </c>
      <c r="L55" s="38" t="s">
        <v>517</v>
      </c>
      <c r="M55" s="258" t="s">
        <v>43</v>
      </c>
      <c r="N55" s="259"/>
      <c r="O55" s="155"/>
      <c r="P55" s="155"/>
      <c r="Q55" s="99" t="s">
        <v>860</v>
      </c>
      <c r="R55" s="81" t="s">
        <v>492</v>
      </c>
      <c r="S55" s="97" t="s">
        <v>496</v>
      </c>
      <c r="T55" s="124" t="s">
        <v>518</v>
      </c>
      <c r="U55" s="95" t="s">
        <v>597</v>
      </c>
      <c r="V55" s="95" t="s">
        <v>600</v>
      </c>
      <c r="W55" s="143"/>
      <c r="X55" s="97" t="s">
        <v>609</v>
      </c>
      <c r="Y55" s="97" t="s">
        <v>639</v>
      </c>
      <c r="Z55" s="169"/>
      <c r="AA55" s="179"/>
      <c r="AB55" s="178"/>
      <c r="AC55" s="151"/>
      <c r="AD55" s="151"/>
      <c r="AE55" s="151"/>
      <c r="AF55" s="151"/>
      <c r="AG55" s="151"/>
      <c r="AH55" s="260" t="s">
        <v>840</v>
      </c>
      <c r="AI55" s="159"/>
      <c r="AJ55" s="261"/>
    </row>
    <row r="56" spans="1:36" ht="12" hidden="1" customHeight="1">
      <c r="A56" s="97" t="s">
        <v>175</v>
      </c>
      <c r="B56" s="76" t="s">
        <v>285</v>
      </c>
      <c r="C56" s="81" t="s">
        <v>16</v>
      </c>
      <c r="D56" s="81" t="s">
        <v>45</v>
      </c>
      <c r="E56" s="81" t="s">
        <v>18</v>
      </c>
      <c r="F56" s="95" t="s">
        <v>42</v>
      </c>
      <c r="G56" s="81" t="s">
        <v>358</v>
      </c>
      <c r="H56" s="76" t="s">
        <v>359</v>
      </c>
      <c r="I56" s="87" t="s">
        <v>711</v>
      </c>
      <c r="J56" s="49"/>
      <c r="K56" s="95" t="s">
        <v>507</v>
      </c>
      <c r="L56" s="38" t="s">
        <v>517</v>
      </c>
      <c r="M56" s="258" t="s">
        <v>43</v>
      </c>
      <c r="N56" s="259"/>
      <c r="O56" s="155"/>
      <c r="P56" s="155"/>
      <c r="Q56" s="99" t="s">
        <v>860</v>
      </c>
      <c r="R56" s="81" t="s">
        <v>492</v>
      </c>
      <c r="S56" s="97" t="s">
        <v>496</v>
      </c>
      <c r="T56" s="124" t="s">
        <v>518</v>
      </c>
      <c r="U56" s="95" t="s">
        <v>597</v>
      </c>
      <c r="V56" s="95" t="s">
        <v>600</v>
      </c>
      <c r="W56" s="143"/>
      <c r="X56" s="97" t="s">
        <v>609</v>
      </c>
      <c r="Y56" s="97" t="s">
        <v>639</v>
      </c>
      <c r="Z56" s="169"/>
      <c r="AA56" s="179"/>
      <c r="AB56" s="178"/>
      <c r="AC56" s="151"/>
      <c r="AD56" s="151"/>
      <c r="AE56" s="151"/>
      <c r="AF56" s="151"/>
      <c r="AG56" s="151"/>
      <c r="AH56" s="260" t="s">
        <v>840</v>
      </c>
      <c r="AI56" s="159"/>
      <c r="AJ56" s="261"/>
    </row>
    <row r="57" spans="1:36" ht="12" hidden="1" customHeight="1">
      <c r="A57" s="97" t="s">
        <v>175</v>
      </c>
      <c r="B57" s="76" t="s">
        <v>285</v>
      </c>
      <c r="C57" s="81" t="s">
        <v>16</v>
      </c>
      <c r="D57" s="81" t="s">
        <v>45</v>
      </c>
      <c r="E57" s="81" t="s">
        <v>18</v>
      </c>
      <c r="F57" s="95" t="s">
        <v>42</v>
      </c>
      <c r="G57" s="81" t="s">
        <v>360</v>
      </c>
      <c r="H57" s="76" t="s">
        <v>361</v>
      </c>
      <c r="I57" s="87" t="s">
        <v>712</v>
      </c>
      <c r="J57" s="49"/>
      <c r="K57" s="95" t="s">
        <v>507</v>
      </c>
      <c r="L57" s="38" t="s">
        <v>517</v>
      </c>
      <c r="M57" s="258" t="s">
        <v>43</v>
      </c>
      <c r="N57" s="259"/>
      <c r="O57" s="155"/>
      <c r="P57" s="155"/>
      <c r="Q57" s="99" t="s">
        <v>860</v>
      </c>
      <c r="R57" s="81" t="s">
        <v>492</v>
      </c>
      <c r="S57" s="97" t="s">
        <v>496</v>
      </c>
      <c r="T57" s="124" t="s">
        <v>518</v>
      </c>
      <c r="U57" s="156" t="s">
        <v>518</v>
      </c>
      <c r="V57" s="159"/>
      <c r="W57" s="143"/>
      <c r="X57" s="97" t="s">
        <v>609</v>
      </c>
      <c r="Y57" s="97" t="s">
        <v>639</v>
      </c>
      <c r="Z57" s="169"/>
      <c r="AA57" s="179"/>
      <c r="AB57" s="178"/>
      <c r="AC57" s="151"/>
      <c r="AD57" s="151"/>
      <c r="AE57" s="151"/>
      <c r="AF57" s="151"/>
      <c r="AG57" s="151"/>
      <c r="AH57" s="260" t="s">
        <v>840</v>
      </c>
      <c r="AI57" s="159"/>
      <c r="AJ57" s="261"/>
    </row>
    <row r="58" spans="1:36" ht="12" hidden="1" customHeight="1">
      <c r="A58" s="97" t="s">
        <v>175</v>
      </c>
      <c r="B58" s="76" t="s">
        <v>285</v>
      </c>
      <c r="C58" s="81" t="s">
        <v>16</v>
      </c>
      <c r="D58" s="81" t="s">
        <v>45</v>
      </c>
      <c r="E58" s="81" t="s">
        <v>18</v>
      </c>
      <c r="F58" s="95" t="s">
        <v>42</v>
      </c>
      <c r="G58" s="81" t="s">
        <v>1094</v>
      </c>
      <c r="H58" s="76" t="s">
        <v>501</v>
      </c>
      <c r="I58" s="87" t="s">
        <v>1095</v>
      </c>
      <c r="J58" s="49"/>
      <c r="K58" s="95" t="s">
        <v>507</v>
      </c>
      <c r="L58" s="38" t="s">
        <v>517</v>
      </c>
      <c r="M58" s="258" t="s">
        <v>683</v>
      </c>
      <c r="N58" s="259" t="s">
        <v>1096</v>
      </c>
      <c r="O58" s="155"/>
      <c r="P58" s="155"/>
      <c r="Q58" s="99" t="s">
        <v>860</v>
      </c>
      <c r="R58" s="81" t="s">
        <v>492</v>
      </c>
      <c r="S58" s="97" t="s">
        <v>496</v>
      </c>
      <c r="T58" s="124" t="s">
        <v>607</v>
      </c>
      <c r="U58" s="95" t="s">
        <v>597</v>
      </c>
      <c r="V58" s="95" t="s">
        <v>600</v>
      </c>
      <c r="W58" s="143"/>
      <c r="X58" s="97" t="s">
        <v>609</v>
      </c>
      <c r="Y58" s="97" t="s">
        <v>639</v>
      </c>
      <c r="Z58" s="169"/>
      <c r="AA58" s="179"/>
      <c r="AB58" s="178"/>
      <c r="AC58" s="151"/>
      <c r="AD58" s="151"/>
      <c r="AE58" s="151"/>
      <c r="AF58" s="151"/>
      <c r="AG58" s="151"/>
      <c r="AH58" s="260" t="s">
        <v>840</v>
      </c>
      <c r="AI58" s="159"/>
      <c r="AJ58" s="263">
        <v>44320</v>
      </c>
    </row>
    <row r="59" spans="1:36" ht="12" hidden="1" customHeight="1">
      <c r="A59" s="170" t="s">
        <v>175</v>
      </c>
      <c r="B59" s="223" t="s">
        <v>285</v>
      </c>
      <c r="C59" s="83" t="s">
        <v>16</v>
      </c>
      <c r="D59" s="83" t="s">
        <v>45</v>
      </c>
      <c r="E59" s="83" t="s">
        <v>19</v>
      </c>
      <c r="F59" s="170" t="s">
        <v>362</v>
      </c>
      <c r="G59" s="83" t="s">
        <v>363</v>
      </c>
      <c r="H59" s="223" t="s">
        <v>364</v>
      </c>
      <c r="I59" s="93" t="s">
        <v>1097</v>
      </c>
      <c r="J59" s="49"/>
      <c r="K59" s="170" t="s">
        <v>507</v>
      </c>
      <c r="L59" s="48" t="s">
        <v>517</v>
      </c>
      <c r="M59" s="264" t="s">
        <v>44</v>
      </c>
      <c r="N59" s="267" t="s">
        <v>1098</v>
      </c>
      <c r="O59" s="155"/>
      <c r="P59" s="155"/>
      <c r="Q59" s="143" t="s">
        <v>863</v>
      </c>
      <c r="R59" s="83" t="s">
        <v>1072</v>
      </c>
      <c r="S59" s="170" t="s">
        <v>496</v>
      </c>
      <c r="T59" s="124" t="s">
        <v>518</v>
      </c>
      <c r="U59" s="156" t="s">
        <v>518</v>
      </c>
      <c r="V59" s="159"/>
      <c r="W59" s="143"/>
      <c r="X59" s="97" t="s">
        <v>1077</v>
      </c>
      <c r="Y59" s="97" t="s">
        <v>639</v>
      </c>
      <c r="Z59" s="169"/>
      <c r="AA59" s="179"/>
      <c r="AB59" s="178"/>
      <c r="AC59" s="151"/>
      <c r="AD59" s="151"/>
      <c r="AE59" s="151"/>
      <c r="AF59" s="151"/>
      <c r="AG59" s="151"/>
      <c r="AH59" s="260" t="s">
        <v>840</v>
      </c>
      <c r="AI59" s="159" t="s">
        <v>942</v>
      </c>
      <c r="AJ59" s="261"/>
    </row>
    <row r="60" spans="1:36" ht="12" hidden="1" customHeight="1">
      <c r="A60" s="97" t="s">
        <v>169</v>
      </c>
      <c r="B60" s="76" t="s">
        <v>280</v>
      </c>
      <c r="C60" s="81" t="s">
        <v>16</v>
      </c>
      <c r="D60" s="81" t="s">
        <v>45</v>
      </c>
      <c r="E60" s="81" t="s">
        <v>18</v>
      </c>
      <c r="F60" s="95" t="s">
        <v>42</v>
      </c>
      <c r="G60" s="81" t="s">
        <v>1099</v>
      </c>
      <c r="H60" s="74" t="s">
        <v>1100</v>
      </c>
      <c r="I60" s="87" t="s">
        <v>1101</v>
      </c>
      <c r="J60" s="49"/>
      <c r="K60" s="95" t="s">
        <v>507</v>
      </c>
      <c r="L60" s="38" t="s">
        <v>517</v>
      </c>
      <c r="M60" s="258" t="s">
        <v>505</v>
      </c>
      <c r="N60" s="259" t="s">
        <v>1102</v>
      </c>
      <c r="O60" s="155"/>
      <c r="P60" s="155"/>
      <c r="Q60" s="78"/>
      <c r="R60" s="81" t="s">
        <v>489</v>
      </c>
      <c r="S60" s="81" t="s">
        <v>62</v>
      </c>
      <c r="T60" s="124" t="s">
        <v>518</v>
      </c>
      <c r="U60" s="156" t="s">
        <v>518</v>
      </c>
      <c r="V60" s="159"/>
      <c r="W60" s="184"/>
      <c r="X60" s="97" t="s">
        <v>971</v>
      </c>
      <c r="Y60" s="97" t="s">
        <v>641</v>
      </c>
      <c r="Z60" s="169"/>
      <c r="AA60" s="179"/>
      <c r="AB60" s="178"/>
      <c r="AC60" s="151"/>
      <c r="AD60" s="151"/>
      <c r="AE60" s="151"/>
      <c r="AF60" s="151"/>
      <c r="AG60" s="151"/>
      <c r="AH60" s="260" t="s">
        <v>840</v>
      </c>
      <c r="AI60" s="159"/>
      <c r="AJ60" s="263">
        <v>44320</v>
      </c>
    </row>
    <row r="61" spans="1:36" ht="12" hidden="1" customHeight="1">
      <c r="A61" s="97" t="s">
        <v>1103</v>
      </c>
      <c r="B61" s="76" t="s">
        <v>1104</v>
      </c>
      <c r="C61" s="81" t="s">
        <v>16</v>
      </c>
      <c r="D61" s="81" t="s">
        <v>45</v>
      </c>
      <c r="E61" s="81" t="s">
        <v>18</v>
      </c>
      <c r="F61" s="97" t="s">
        <v>42</v>
      </c>
      <c r="G61" s="81" t="s">
        <v>365</v>
      </c>
      <c r="H61" s="76" t="s">
        <v>1105</v>
      </c>
      <c r="I61" s="87" t="s">
        <v>713</v>
      </c>
      <c r="J61" s="49"/>
      <c r="K61" s="81" t="s">
        <v>507</v>
      </c>
      <c r="L61" s="38" t="s">
        <v>517</v>
      </c>
      <c r="M61" s="258" t="s">
        <v>43</v>
      </c>
      <c r="N61" s="259"/>
      <c r="O61" s="155"/>
      <c r="P61" s="155"/>
      <c r="Q61" s="99" t="s">
        <v>1107</v>
      </c>
      <c r="R61" s="97" t="s">
        <v>493</v>
      </c>
      <c r="S61" s="97" t="s">
        <v>497</v>
      </c>
      <c r="T61" s="124" t="s">
        <v>607</v>
      </c>
      <c r="U61" s="156" t="s">
        <v>518</v>
      </c>
      <c r="V61" s="159"/>
      <c r="W61" s="143"/>
      <c r="X61" s="97" t="s">
        <v>1077</v>
      </c>
      <c r="Y61" s="97" t="s">
        <v>639</v>
      </c>
      <c r="Z61" s="169"/>
      <c r="AA61" s="179"/>
      <c r="AB61" s="178"/>
      <c r="AC61" s="151"/>
      <c r="AD61" s="151"/>
      <c r="AE61" s="151"/>
      <c r="AF61" s="151"/>
      <c r="AG61" s="151"/>
      <c r="AH61" s="260" t="s">
        <v>840</v>
      </c>
      <c r="AI61" s="159"/>
      <c r="AJ61" s="261"/>
    </row>
    <row r="62" spans="1:36" ht="12" hidden="1" customHeight="1">
      <c r="A62" s="97" t="s">
        <v>1103</v>
      </c>
      <c r="B62" s="76" t="s">
        <v>286</v>
      </c>
      <c r="C62" s="81" t="s">
        <v>16</v>
      </c>
      <c r="D62" s="81" t="s">
        <v>366</v>
      </c>
      <c r="E62" s="81" t="s">
        <v>18</v>
      </c>
      <c r="F62" s="97" t="s">
        <v>42</v>
      </c>
      <c r="G62" s="81" t="s">
        <v>367</v>
      </c>
      <c r="H62" s="76" t="s">
        <v>368</v>
      </c>
      <c r="I62" s="87" t="s">
        <v>1108</v>
      </c>
      <c r="J62" s="49"/>
      <c r="K62" s="81" t="s">
        <v>507</v>
      </c>
      <c r="L62" s="38" t="s">
        <v>517</v>
      </c>
      <c r="M62" s="258" t="s">
        <v>916</v>
      </c>
      <c r="N62" s="259"/>
      <c r="O62" s="155"/>
      <c r="P62" s="155"/>
      <c r="Q62" s="99" t="s">
        <v>1106</v>
      </c>
      <c r="R62" s="97" t="s">
        <v>493</v>
      </c>
      <c r="S62" s="97" t="s">
        <v>1109</v>
      </c>
      <c r="T62" s="124" t="s">
        <v>518</v>
      </c>
      <c r="U62" s="156" t="s">
        <v>518</v>
      </c>
      <c r="V62" s="159"/>
      <c r="W62" s="143"/>
      <c r="X62" s="97" t="s">
        <v>609</v>
      </c>
      <c r="Y62" s="97" t="s">
        <v>639</v>
      </c>
      <c r="Z62" s="169"/>
      <c r="AA62" s="179"/>
      <c r="AB62" s="178"/>
      <c r="AC62" s="151"/>
      <c r="AD62" s="151"/>
      <c r="AE62" s="151"/>
      <c r="AF62" s="151"/>
      <c r="AG62" s="151"/>
      <c r="AH62" s="260" t="s">
        <v>840</v>
      </c>
      <c r="AI62" s="159"/>
      <c r="AJ62" s="261"/>
    </row>
    <row r="63" spans="1:36" ht="12" hidden="1" customHeight="1">
      <c r="A63" s="97" t="s">
        <v>176</v>
      </c>
      <c r="B63" s="76" t="s">
        <v>286</v>
      </c>
      <c r="C63" s="81" t="s">
        <v>16</v>
      </c>
      <c r="D63" s="81" t="s">
        <v>45</v>
      </c>
      <c r="E63" s="81" t="s">
        <v>18</v>
      </c>
      <c r="F63" s="97" t="s">
        <v>42</v>
      </c>
      <c r="G63" s="81" t="s">
        <v>369</v>
      </c>
      <c r="H63" s="76" t="s">
        <v>1110</v>
      </c>
      <c r="I63" s="87" t="s">
        <v>1111</v>
      </c>
      <c r="J63" s="49"/>
      <c r="K63" s="81" t="s">
        <v>507</v>
      </c>
      <c r="L63" s="38" t="s">
        <v>517</v>
      </c>
      <c r="M63" s="258" t="s">
        <v>43</v>
      </c>
      <c r="N63" s="259"/>
      <c r="O63" s="155"/>
      <c r="P63" s="155"/>
      <c r="Q63" s="99" t="s">
        <v>1106</v>
      </c>
      <c r="R63" s="97" t="s">
        <v>1112</v>
      </c>
      <c r="S63" s="97" t="s">
        <v>497</v>
      </c>
      <c r="T63" s="124" t="s">
        <v>518</v>
      </c>
      <c r="U63" s="156" t="s">
        <v>518</v>
      </c>
      <c r="V63" s="159"/>
      <c r="W63" s="143"/>
      <c r="X63" s="97" t="s">
        <v>609</v>
      </c>
      <c r="Y63" s="97" t="s">
        <v>639</v>
      </c>
      <c r="Z63" s="169"/>
      <c r="AA63" s="179"/>
      <c r="AB63" s="178"/>
      <c r="AC63" s="151"/>
      <c r="AD63" s="151"/>
      <c r="AE63" s="151"/>
      <c r="AF63" s="151"/>
      <c r="AG63" s="151"/>
      <c r="AH63" s="260" t="s">
        <v>840</v>
      </c>
      <c r="AI63" s="159"/>
      <c r="AJ63" s="261"/>
    </row>
    <row r="64" spans="1:36" ht="12" hidden="1" customHeight="1">
      <c r="A64" s="97" t="s">
        <v>176</v>
      </c>
      <c r="B64" s="76" t="s">
        <v>286</v>
      </c>
      <c r="C64" s="81" t="s">
        <v>16</v>
      </c>
      <c r="D64" s="81" t="s">
        <v>45</v>
      </c>
      <c r="E64" s="81" t="s">
        <v>18</v>
      </c>
      <c r="F64" s="97" t="s">
        <v>42</v>
      </c>
      <c r="G64" s="81" t="s">
        <v>370</v>
      </c>
      <c r="H64" s="76" t="s">
        <v>1113</v>
      </c>
      <c r="I64" s="87" t="s">
        <v>714</v>
      </c>
      <c r="J64" s="49"/>
      <c r="K64" s="81" t="s">
        <v>507</v>
      </c>
      <c r="L64" s="38" t="s">
        <v>517</v>
      </c>
      <c r="M64" s="258" t="s">
        <v>43</v>
      </c>
      <c r="N64" s="259"/>
      <c r="O64" s="155"/>
      <c r="P64" s="155"/>
      <c r="Q64" s="99" t="s">
        <v>1106</v>
      </c>
      <c r="R64" s="97" t="s">
        <v>1112</v>
      </c>
      <c r="S64" s="97" t="s">
        <v>1109</v>
      </c>
      <c r="T64" s="124" t="s">
        <v>518</v>
      </c>
      <c r="U64" s="156" t="s">
        <v>518</v>
      </c>
      <c r="V64" s="159"/>
      <c r="W64" s="143"/>
      <c r="X64" s="97" t="s">
        <v>609</v>
      </c>
      <c r="Y64" s="97" t="s">
        <v>639</v>
      </c>
      <c r="Z64" s="169"/>
      <c r="AA64" s="179"/>
      <c r="AB64" s="178"/>
      <c r="AC64" s="151"/>
      <c r="AD64" s="151"/>
      <c r="AE64" s="151"/>
      <c r="AF64" s="151"/>
      <c r="AG64" s="151"/>
      <c r="AH64" s="260" t="s">
        <v>840</v>
      </c>
      <c r="AI64" s="159"/>
      <c r="AJ64" s="261"/>
    </row>
    <row r="65" spans="1:36" ht="12" hidden="1" customHeight="1">
      <c r="A65" s="97" t="s">
        <v>1114</v>
      </c>
      <c r="B65" s="76" t="s">
        <v>286</v>
      </c>
      <c r="C65" s="81" t="s">
        <v>16</v>
      </c>
      <c r="D65" s="81" t="s">
        <v>45</v>
      </c>
      <c r="E65" s="81" t="s">
        <v>18</v>
      </c>
      <c r="F65" s="97" t="s">
        <v>42</v>
      </c>
      <c r="G65" s="81" t="s">
        <v>371</v>
      </c>
      <c r="H65" s="76" t="s">
        <v>1115</v>
      </c>
      <c r="I65" s="87" t="s">
        <v>715</v>
      </c>
      <c r="J65" s="49"/>
      <c r="K65" s="81" t="s">
        <v>507</v>
      </c>
      <c r="L65" s="38" t="s">
        <v>517</v>
      </c>
      <c r="M65" s="258" t="s">
        <v>43</v>
      </c>
      <c r="N65" s="259"/>
      <c r="O65" s="155"/>
      <c r="P65" s="155"/>
      <c r="Q65" s="99" t="s">
        <v>1107</v>
      </c>
      <c r="R65" s="97" t="s">
        <v>493</v>
      </c>
      <c r="S65" s="97" t="s">
        <v>497</v>
      </c>
      <c r="T65" s="124" t="s">
        <v>518</v>
      </c>
      <c r="U65" s="156" t="s">
        <v>518</v>
      </c>
      <c r="V65" s="159"/>
      <c r="W65" s="143"/>
      <c r="X65" s="97" t="s">
        <v>1077</v>
      </c>
      <c r="Y65" s="97" t="s">
        <v>639</v>
      </c>
      <c r="Z65" s="169"/>
      <c r="AA65" s="179"/>
      <c r="AB65" s="178"/>
      <c r="AC65" s="151"/>
      <c r="AD65" s="151"/>
      <c r="AE65" s="151"/>
      <c r="AF65" s="151"/>
      <c r="AG65" s="151"/>
      <c r="AH65" s="260" t="s">
        <v>840</v>
      </c>
      <c r="AI65" s="159"/>
      <c r="AJ65" s="261"/>
    </row>
    <row r="66" spans="1:36" ht="12" hidden="1" customHeight="1">
      <c r="A66" s="97" t="s">
        <v>176</v>
      </c>
      <c r="B66" s="76" t="s">
        <v>286</v>
      </c>
      <c r="C66" s="81" t="s">
        <v>16</v>
      </c>
      <c r="D66" s="81" t="s">
        <v>45</v>
      </c>
      <c r="E66" s="81" t="s">
        <v>18</v>
      </c>
      <c r="F66" s="97" t="s">
        <v>42</v>
      </c>
      <c r="G66" s="81" t="s">
        <v>372</v>
      </c>
      <c r="H66" s="76" t="s">
        <v>1116</v>
      </c>
      <c r="I66" s="87" t="s">
        <v>716</v>
      </c>
      <c r="J66" s="49"/>
      <c r="K66" s="81" t="s">
        <v>507</v>
      </c>
      <c r="L66" s="38" t="s">
        <v>517</v>
      </c>
      <c r="M66" s="258" t="s">
        <v>43</v>
      </c>
      <c r="N66" s="259"/>
      <c r="O66" s="155"/>
      <c r="P66" s="155"/>
      <c r="Q66" s="99" t="s">
        <v>1106</v>
      </c>
      <c r="R66" s="97" t="s">
        <v>493</v>
      </c>
      <c r="S66" s="97" t="s">
        <v>497</v>
      </c>
      <c r="T66" s="124" t="s">
        <v>518</v>
      </c>
      <c r="U66" s="156" t="s">
        <v>518</v>
      </c>
      <c r="V66" s="159"/>
      <c r="W66" s="143"/>
      <c r="X66" s="97" t="s">
        <v>609</v>
      </c>
      <c r="Y66" s="97" t="s">
        <v>639</v>
      </c>
      <c r="Z66" s="169"/>
      <c r="AA66" s="179"/>
      <c r="AB66" s="178"/>
      <c r="AC66" s="151"/>
      <c r="AD66" s="151"/>
      <c r="AE66" s="151"/>
      <c r="AF66" s="151"/>
      <c r="AG66" s="151"/>
      <c r="AH66" s="260" t="s">
        <v>840</v>
      </c>
      <c r="AI66" s="159"/>
      <c r="AJ66" s="261"/>
    </row>
    <row r="67" spans="1:36" ht="12" hidden="1" customHeight="1">
      <c r="A67" s="170" t="s">
        <v>1103</v>
      </c>
      <c r="B67" s="223" t="s">
        <v>286</v>
      </c>
      <c r="C67" s="83" t="s">
        <v>16</v>
      </c>
      <c r="D67" s="83" t="s">
        <v>45</v>
      </c>
      <c r="E67" s="83" t="s">
        <v>19</v>
      </c>
      <c r="F67" s="170" t="s">
        <v>42</v>
      </c>
      <c r="G67" s="83" t="s">
        <v>1117</v>
      </c>
      <c r="H67" s="223" t="s">
        <v>373</v>
      </c>
      <c r="I67" s="93" t="s">
        <v>1118</v>
      </c>
      <c r="J67" s="49"/>
      <c r="K67" s="83" t="s">
        <v>507</v>
      </c>
      <c r="L67" s="48" t="s">
        <v>934</v>
      </c>
      <c r="M67" s="264" t="s">
        <v>44</v>
      </c>
      <c r="N67" s="265"/>
      <c r="O67" s="155"/>
      <c r="P67" s="155"/>
      <c r="Q67" s="143" t="s">
        <v>1119</v>
      </c>
      <c r="R67" s="170" t="s">
        <v>493</v>
      </c>
      <c r="S67" s="170" t="s">
        <v>497</v>
      </c>
      <c r="T67" s="124" t="s">
        <v>518</v>
      </c>
      <c r="U67" s="156" t="s">
        <v>518</v>
      </c>
      <c r="V67" s="159"/>
      <c r="W67" s="143"/>
      <c r="X67" s="97" t="s">
        <v>1077</v>
      </c>
      <c r="Y67" s="97" t="s">
        <v>639</v>
      </c>
      <c r="Z67" s="169"/>
      <c r="AA67" s="179"/>
      <c r="AB67" s="178"/>
      <c r="AC67" s="151"/>
      <c r="AD67" s="151"/>
      <c r="AE67" s="151"/>
      <c r="AF67" s="151"/>
      <c r="AG67" s="151"/>
      <c r="AH67" s="260" t="s">
        <v>840</v>
      </c>
      <c r="AI67" s="159"/>
      <c r="AJ67" s="261"/>
    </row>
    <row r="68" spans="1:36" ht="12" hidden="1" customHeight="1">
      <c r="A68" s="97" t="s">
        <v>176</v>
      </c>
      <c r="B68" s="76" t="s">
        <v>1104</v>
      </c>
      <c r="C68" s="81" t="s">
        <v>16</v>
      </c>
      <c r="D68" s="81" t="s">
        <v>45</v>
      </c>
      <c r="E68" s="81" t="s">
        <v>18</v>
      </c>
      <c r="F68" s="97" t="s">
        <v>42</v>
      </c>
      <c r="G68" s="81" t="s">
        <v>374</v>
      </c>
      <c r="H68" s="76" t="s">
        <v>1120</v>
      </c>
      <c r="I68" s="87" t="s">
        <v>1121</v>
      </c>
      <c r="J68" s="49"/>
      <c r="K68" s="81" t="s">
        <v>507</v>
      </c>
      <c r="L68" s="38" t="s">
        <v>934</v>
      </c>
      <c r="M68" s="258" t="s">
        <v>43</v>
      </c>
      <c r="N68" s="259"/>
      <c r="O68" s="155"/>
      <c r="P68" s="155"/>
      <c r="Q68" s="99" t="s">
        <v>1106</v>
      </c>
      <c r="R68" s="97" t="s">
        <v>1122</v>
      </c>
      <c r="S68" s="97" t="s">
        <v>1109</v>
      </c>
      <c r="T68" s="124" t="s">
        <v>607</v>
      </c>
      <c r="U68" s="95" t="s">
        <v>963</v>
      </c>
      <c r="V68" s="95" t="s">
        <v>600</v>
      </c>
      <c r="W68" s="143"/>
      <c r="X68" s="97" t="s">
        <v>615</v>
      </c>
      <c r="Y68" s="97" t="s">
        <v>639</v>
      </c>
      <c r="Z68" s="169"/>
      <c r="AA68" s="179"/>
      <c r="AB68" s="178"/>
      <c r="AC68" s="151"/>
      <c r="AD68" s="151"/>
      <c r="AE68" s="151"/>
      <c r="AF68" s="151"/>
      <c r="AG68" s="151"/>
      <c r="AH68" s="260" t="s">
        <v>840</v>
      </c>
      <c r="AI68" s="159"/>
      <c r="AJ68" s="261"/>
    </row>
    <row r="69" spans="1:36" ht="12" hidden="1" customHeight="1">
      <c r="A69" s="97" t="s">
        <v>176</v>
      </c>
      <c r="B69" s="76" t="s">
        <v>286</v>
      </c>
      <c r="C69" s="81" t="s">
        <v>16</v>
      </c>
      <c r="D69" s="81" t="s">
        <v>45</v>
      </c>
      <c r="E69" s="81" t="s">
        <v>18</v>
      </c>
      <c r="F69" s="97" t="s">
        <v>42</v>
      </c>
      <c r="G69" s="81" t="s">
        <v>375</v>
      </c>
      <c r="H69" s="76" t="s">
        <v>376</v>
      </c>
      <c r="I69" s="87" t="s">
        <v>1123</v>
      </c>
      <c r="J69" s="49"/>
      <c r="K69" s="81" t="s">
        <v>507</v>
      </c>
      <c r="L69" s="38" t="s">
        <v>517</v>
      </c>
      <c r="M69" s="258" t="s">
        <v>43</v>
      </c>
      <c r="N69" s="259"/>
      <c r="O69" s="155"/>
      <c r="P69" s="155"/>
      <c r="Q69" s="99" t="s">
        <v>1106</v>
      </c>
      <c r="R69" s="97" t="s">
        <v>1122</v>
      </c>
      <c r="S69" s="97" t="s">
        <v>497</v>
      </c>
      <c r="T69" s="124" t="s">
        <v>518</v>
      </c>
      <c r="U69" s="95" t="s">
        <v>963</v>
      </c>
      <c r="V69" s="95" t="s">
        <v>600</v>
      </c>
      <c r="W69" s="143"/>
      <c r="X69" s="97" t="s">
        <v>1124</v>
      </c>
      <c r="Y69" s="97" t="s">
        <v>639</v>
      </c>
      <c r="Z69" s="169"/>
      <c r="AA69" s="179"/>
      <c r="AB69" s="178"/>
      <c r="AC69" s="151"/>
      <c r="AD69" s="151"/>
      <c r="AE69" s="151"/>
      <c r="AF69" s="151"/>
      <c r="AG69" s="151"/>
      <c r="AH69" s="260" t="s">
        <v>840</v>
      </c>
      <c r="AI69" s="159"/>
      <c r="AJ69" s="261"/>
    </row>
    <row r="70" spans="1:36" ht="12" hidden="1" customHeight="1">
      <c r="A70" s="97" t="s">
        <v>1125</v>
      </c>
      <c r="B70" s="76" t="s">
        <v>287</v>
      </c>
      <c r="C70" s="81" t="s">
        <v>16</v>
      </c>
      <c r="D70" s="81" t="s">
        <v>45</v>
      </c>
      <c r="E70" s="81" t="s">
        <v>18</v>
      </c>
      <c r="F70" s="97" t="s">
        <v>42</v>
      </c>
      <c r="G70" s="81" t="s">
        <v>1126</v>
      </c>
      <c r="H70" s="76" t="s">
        <v>379</v>
      </c>
      <c r="I70" s="87" t="s">
        <v>1127</v>
      </c>
      <c r="J70" s="49"/>
      <c r="K70" s="81" t="s">
        <v>507</v>
      </c>
      <c r="L70" s="38" t="s">
        <v>517</v>
      </c>
      <c r="M70" s="258" t="s">
        <v>43</v>
      </c>
      <c r="N70" s="259"/>
      <c r="O70" s="155"/>
      <c r="P70" s="155"/>
      <c r="Q70" s="99" t="s">
        <v>1106</v>
      </c>
      <c r="R70" s="97" t="s">
        <v>493</v>
      </c>
      <c r="S70" s="97" t="s">
        <v>497</v>
      </c>
      <c r="T70" s="124" t="s">
        <v>518</v>
      </c>
      <c r="U70" s="156" t="s">
        <v>518</v>
      </c>
      <c r="V70" s="159"/>
      <c r="W70" s="143"/>
      <c r="X70" s="97" t="s">
        <v>609</v>
      </c>
      <c r="Y70" s="97" t="s">
        <v>639</v>
      </c>
      <c r="Z70" s="169"/>
      <c r="AA70" s="179"/>
      <c r="AB70" s="178"/>
      <c r="AC70" s="151"/>
      <c r="AD70" s="151"/>
      <c r="AE70" s="151"/>
      <c r="AF70" s="151"/>
      <c r="AG70" s="151"/>
      <c r="AH70" s="260" t="s">
        <v>840</v>
      </c>
      <c r="AI70" s="159"/>
      <c r="AJ70" s="261"/>
    </row>
    <row r="71" spans="1:36" ht="12" hidden="1" customHeight="1">
      <c r="A71" s="170" t="s">
        <v>178</v>
      </c>
      <c r="B71" s="223" t="s">
        <v>316</v>
      </c>
      <c r="C71" s="83" t="s">
        <v>16</v>
      </c>
      <c r="D71" s="83" t="s">
        <v>45</v>
      </c>
      <c r="E71" s="83" t="s">
        <v>19</v>
      </c>
      <c r="F71" s="170" t="s">
        <v>42</v>
      </c>
      <c r="G71" s="83" t="s">
        <v>822</v>
      </c>
      <c r="H71" s="223" t="s">
        <v>380</v>
      </c>
      <c r="I71" s="92" t="s">
        <v>830</v>
      </c>
      <c r="J71" s="49"/>
      <c r="K71" s="83" t="s">
        <v>507</v>
      </c>
      <c r="L71" s="48" t="s">
        <v>517</v>
      </c>
      <c r="M71" s="264" t="s">
        <v>44</v>
      </c>
      <c r="N71" s="265" t="s">
        <v>871</v>
      </c>
      <c r="O71" s="155"/>
      <c r="P71" s="155"/>
      <c r="Q71" s="143" t="s">
        <v>621</v>
      </c>
      <c r="R71" s="170" t="s">
        <v>1128</v>
      </c>
      <c r="S71" s="170" t="s">
        <v>318</v>
      </c>
      <c r="T71" s="124" t="s">
        <v>518</v>
      </c>
      <c r="U71" s="156" t="s">
        <v>518</v>
      </c>
      <c r="V71" s="159"/>
      <c r="W71" s="143"/>
      <c r="X71" s="97" t="s">
        <v>608</v>
      </c>
      <c r="Y71" s="97" t="s">
        <v>639</v>
      </c>
      <c r="Z71" s="169"/>
      <c r="AA71" s="179"/>
      <c r="AB71" s="178"/>
      <c r="AC71" s="151"/>
      <c r="AD71" s="151"/>
      <c r="AE71" s="151"/>
      <c r="AF71" s="151"/>
      <c r="AG71" s="151"/>
      <c r="AH71" s="260" t="s">
        <v>839</v>
      </c>
      <c r="AI71" s="159" t="s">
        <v>866</v>
      </c>
      <c r="AJ71" s="261"/>
    </row>
    <row r="72" spans="1:36" ht="12" hidden="1" customHeight="1">
      <c r="A72" s="97" t="s">
        <v>179</v>
      </c>
      <c r="B72" s="76" t="s">
        <v>1129</v>
      </c>
      <c r="C72" s="81" t="s">
        <v>16</v>
      </c>
      <c r="D72" s="81" t="s">
        <v>45</v>
      </c>
      <c r="E72" s="81" t="s">
        <v>18</v>
      </c>
      <c r="F72" s="97" t="s">
        <v>42</v>
      </c>
      <c r="G72" s="81" t="s">
        <v>381</v>
      </c>
      <c r="H72" s="76" t="s">
        <v>382</v>
      </c>
      <c r="I72" s="87" t="s">
        <v>717</v>
      </c>
      <c r="J72" s="49"/>
      <c r="K72" s="81" t="s">
        <v>507</v>
      </c>
      <c r="L72" s="38" t="s">
        <v>934</v>
      </c>
      <c r="M72" s="258" t="s">
        <v>43</v>
      </c>
      <c r="N72" s="259"/>
      <c r="O72" s="155"/>
      <c r="P72" s="155"/>
      <c r="Q72" s="99" t="s">
        <v>1107</v>
      </c>
      <c r="R72" s="97" t="s">
        <v>493</v>
      </c>
      <c r="S72" s="97" t="s">
        <v>497</v>
      </c>
      <c r="T72" s="124" t="s">
        <v>518</v>
      </c>
      <c r="U72" s="156" t="s">
        <v>518</v>
      </c>
      <c r="V72" s="159"/>
      <c r="W72" s="143"/>
      <c r="X72" s="97" t="s">
        <v>1077</v>
      </c>
      <c r="Y72" s="97" t="s">
        <v>639</v>
      </c>
      <c r="Z72" s="169"/>
      <c r="AA72" s="179"/>
      <c r="AB72" s="178"/>
      <c r="AC72" s="151"/>
      <c r="AD72" s="151"/>
      <c r="AE72" s="151"/>
      <c r="AF72" s="151"/>
      <c r="AG72" s="151"/>
      <c r="AH72" s="260" t="s">
        <v>840</v>
      </c>
      <c r="AI72" s="159"/>
      <c r="AJ72" s="261"/>
    </row>
    <row r="73" spans="1:36" ht="12" hidden="1" customHeight="1">
      <c r="A73" s="97" t="s">
        <v>180</v>
      </c>
      <c r="B73" s="76" t="s">
        <v>317</v>
      </c>
      <c r="C73" s="81" t="s">
        <v>16</v>
      </c>
      <c r="D73" s="81" t="s">
        <v>45</v>
      </c>
      <c r="E73" s="81" t="s">
        <v>18</v>
      </c>
      <c r="F73" s="97" t="s">
        <v>42</v>
      </c>
      <c r="G73" s="81" t="s">
        <v>383</v>
      </c>
      <c r="H73" s="76" t="s">
        <v>1130</v>
      </c>
      <c r="I73" s="87" t="s">
        <v>1131</v>
      </c>
      <c r="J73" s="49"/>
      <c r="K73" s="81" t="s">
        <v>507</v>
      </c>
      <c r="L73" s="38" t="s">
        <v>934</v>
      </c>
      <c r="M73" s="258" t="s">
        <v>43</v>
      </c>
      <c r="N73" s="259"/>
      <c r="O73" s="155"/>
      <c r="P73" s="155"/>
      <c r="Q73" s="99" t="s">
        <v>1106</v>
      </c>
      <c r="R73" s="97" t="s">
        <v>1122</v>
      </c>
      <c r="S73" s="97" t="s">
        <v>1109</v>
      </c>
      <c r="T73" s="124" t="s">
        <v>518</v>
      </c>
      <c r="U73" s="156" t="s">
        <v>518</v>
      </c>
      <c r="V73" s="159"/>
      <c r="W73" s="143"/>
      <c r="X73" s="97" t="s">
        <v>1077</v>
      </c>
      <c r="Y73" s="97" t="s">
        <v>639</v>
      </c>
      <c r="Z73" s="169"/>
      <c r="AA73" s="179"/>
      <c r="AB73" s="178"/>
      <c r="AC73" s="151"/>
      <c r="AD73" s="151"/>
      <c r="AE73" s="151"/>
      <c r="AF73" s="151"/>
      <c r="AG73" s="151"/>
      <c r="AH73" s="260" t="s">
        <v>840</v>
      </c>
      <c r="AI73" s="159"/>
      <c r="AJ73" s="261"/>
    </row>
    <row r="74" spans="1:36" ht="12" hidden="1" customHeight="1">
      <c r="A74" s="97" t="s">
        <v>181</v>
      </c>
      <c r="B74" s="76" t="s">
        <v>288</v>
      </c>
      <c r="C74" s="81" t="s">
        <v>16</v>
      </c>
      <c r="D74" s="81" t="s">
        <v>45</v>
      </c>
      <c r="E74" s="81" t="s">
        <v>18</v>
      </c>
      <c r="F74" s="97" t="s">
        <v>42</v>
      </c>
      <c r="G74" s="81" t="s">
        <v>384</v>
      </c>
      <c r="H74" s="76" t="s">
        <v>385</v>
      </c>
      <c r="I74" s="87" t="s">
        <v>479</v>
      </c>
      <c r="J74" s="49"/>
      <c r="K74" s="81" t="s">
        <v>507</v>
      </c>
      <c r="L74" s="38" t="s">
        <v>517</v>
      </c>
      <c r="M74" s="258" t="s">
        <v>43</v>
      </c>
      <c r="N74" s="259"/>
      <c r="O74" s="155"/>
      <c r="P74" s="155"/>
      <c r="Q74" s="99" t="s">
        <v>1107</v>
      </c>
      <c r="R74" s="97" t="s">
        <v>493</v>
      </c>
      <c r="S74" s="97" t="s">
        <v>497</v>
      </c>
      <c r="T74" s="124" t="s">
        <v>518</v>
      </c>
      <c r="U74" s="156" t="s">
        <v>518</v>
      </c>
      <c r="V74" s="159"/>
      <c r="W74" s="143"/>
      <c r="X74" s="97" t="s">
        <v>609</v>
      </c>
      <c r="Y74" s="97" t="s">
        <v>639</v>
      </c>
      <c r="Z74" s="169"/>
      <c r="AA74" s="179"/>
      <c r="AB74" s="178"/>
      <c r="AC74" s="151"/>
      <c r="AD74" s="151"/>
      <c r="AE74" s="151"/>
      <c r="AF74" s="151"/>
      <c r="AG74" s="151"/>
      <c r="AH74" s="260" t="s">
        <v>840</v>
      </c>
      <c r="AI74" s="159"/>
      <c r="AJ74" s="261"/>
    </row>
    <row r="75" spans="1:36" ht="12" hidden="1" customHeight="1">
      <c r="A75" s="170" t="s">
        <v>266</v>
      </c>
      <c r="B75" s="223" t="s">
        <v>322</v>
      </c>
      <c r="C75" s="83" t="s">
        <v>16</v>
      </c>
      <c r="D75" s="83" t="s">
        <v>45</v>
      </c>
      <c r="E75" s="83" t="s">
        <v>19</v>
      </c>
      <c r="F75" s="170" t="s">
        <v>42</v>
      </c>
      <c r="G75" s="83" t="s">
        <v>821</v>
      </c>
      <c r="H75" s="223" t="s">
        <v>1132</v>
      </c>
      <c r="I75" s="93" t="s">
        <v>718</v>
      </c>
      <c r="J75" s="49"/>
      <c r="K75" s="170" t="s">
        <v>507</v>
      </c>
      <c r="L75" s="48" t="s">
        <v>517</v>
      </c>
      <c r="M75" s="264" t="s">
        <v>44</v>
      </c>
      <c r="N75" s="265"/>
      <c r="O75" s="155"/>
      <c r="P75" s="155"/>
      <c r="Q75" s="143" t="s">
        <v>1133</v>
      </c>
      <c r="R75" s="170" t="s">
        <v>493</v>
      </c>
      <c r="S75" s="83" t="s">
        <v>1135</v>
      </c>
      <c r="T75" s="124" t="s">
        <v>518</v>
      </c>
      <c r="U75" s="156" t="s">
        <v>518</v>
      </c>
      <c r="V75" s="159"/>
      <c r="W75" s="143"/>
      <c r="X75" s="97" t="s">
        <v>1077</v>
      </c>
      <c r="Y75" s="97" t="s">
        <v>631</v>
      </c>
      <c r="Z75" s="169"/>
      <c r="AA75" s="179"/>
      <c r="AB75" s="178"/>
      <c r="AC75" s="151"/>
      <c r="AD75" s="151"/>
      <c r="AE75" s="151"/>
      <c r="AF75" s="151"/>
      <c r="AG75" s="151"/>
      <c r="AH75" s="260" t="s">
        <v>840</v>
      </c>
      <c r="AI75" s="159"/>
      <c r="AJ75" s="261"/>
    </row>
    <row r="76" spans="1:36" ht="12" hidden="1" customHeight="1">
      <c r="A76" s="175" t="s">
        <v>1136</v>
      </c>
      <c r="B76" s="77" t="s">
        <v>322</v>
      </c>
      <c r="C76" s="82" t="s">
        <v>16</v>
      </c>
      <c r="D76" s="82" t="s">
        <v>45</v>
      </c>
      <c r="E76" s="82" t="s">
        <v>18</v>
      </c>
      <c r="F76" s="96" t="s">
        <v>42</v>
      </c>
      <c r="G76" s="82" t="s">
        <v>719</v>
      </c>
      <c r="H76" s="86" t="s">
        <v>1137</v>
      </c>
      <c r="I76" s="87" t="s">
        <v>833</v>
      </c>
      <c r="J76" s="49"/>
      <c r="K76" s="95" t="s">
        <v>507</v>
      </c>
      <c r="L76" s="38" t="s">
        <v>517</v>
      </c>
      <c r="M76" s="258" t="s">
        <v>524</v>
      </c>
      <c r="N76" s="259"/>
      <c r="O76" s="155"/>
      <c r="P76" s="155"/>
      <c r="Q76" s="99" t="s">
        <v>1119</v>
      </c>
      <c r="R76" s="97" t="s">
        <v>493</v>
      </c>
      <c r="S76" s="81" t="s">
        <v>1134</v>
      </c>
      <c r="T76" s="124" t="s">
        <v>518</v>
      </c>
      <c r="U76" s="156" t="s">
        <v>518</v>
      </c>
      <c r="V76" s="159"/>
      <c r="W76" s="143"/>
      <c r="X76" s="97" t="s">
        <v>609</v>
      </c>
      <c r="Y76" s="97" t="s">
        <v>720</v>
      </c>
      <c r="Z76" s="169"/>
      <c r="AA76" s="185"/>
      <c r="AB76" s="178"/>
      <c r="AC76" s="151"/>
      <c r="AD76" s="151"/>
      <c r="AE76" s="151"/>
      <c r="AF76" s="151"/>
      <c r="AG76" s="151"/>
      <c r="AH76" s="260" t="s">
        <v>840</v>
      </c>
      <c r="AI76" s="159"/>
      <c r="AJ76" s="261"/>
    </row>
    <row r="77" spans="1:36" ht="12" hidden="1" customHeight="1">
      <c r="A77" s="97" t="s">
        <v>721</v>
      </c>
      <c r="B77" s="76" t="s">
        <v>320</v>
      </c>
      <c r="C77" s="81" t="s">
        <v>16</v>
      </c>
      <c r="D77" s="81" t="s">
        <v>45</v>
      </c>
      <c r="E77" s="81" t="s">
        <v>18</v>
      </c>
      <c r="F77" s="95" t="s">
        <v>42</v>
      </c>
      <c r="G77" s="81" t="s">
        <v>1138</v>
      </c>
      <c r="H77" s="76" t="s">
        <v>722</v>
      </c>
      <c r="I77" s="87" t="s">
        <v>834</v>
      </c>
      <c r="J77" s="49"/>
      <c r="K77" s="95" t="s">
        <v>507</v>
      </c>
      <c r="L77" s="38" t="s">
        <v>934</v>
      </c>
      <c r="M77" s="258" t="s">
        <v>43</v>
      </c>
      <c r="N77" s="259"/>
      <c r="O77" s="155"/>
      <c r="P77" s="155"/>
      <c r="Q77" s="99"/>
      <c r="R77" s="97" t="s">
        <v>494</v>
      </c>
      <c r="S77" s="97" t="s">
        <v>499</v>
      </c>
      <c r="T77" s="124" t="s">
        <v>518</v>
      </c>
      <c r="U77" s="95" t="s">
        <v>1139</v>
      </c>
      <c r="V77" s="95" t="s">
        <v>601</v>
      </c>
      <c r="W77" s="143"/>
      <c r="X77" s="97" t="s">
        <v>734</v>
      </c>
      <c r="Y77" s="97" t="s">
        <v>632</v>
      </c>
      <c r="Z77" s="169"/>
      <c r="AA77" s="179"/>
      <c r="AB77" s="178"/>
      <c r="AC77" s="151"/>
      <c r="AD77" s="151"/>
      <c r="AE77" s="151"/>
      <c r="AF77" s="151"/>
      <c r="AG77" s="151"/>
      <c r="AH77" s="260" t="s">
        <v>838</v>
      </c>
      <c r="AI77" s="159"/>
      <c r="AJ77" s="261"/>
    </row>
    <row r="78" spans="1:36" ht="12" hidden="1" customHeight="1">
      <c r="A78" s="97" t="s">
        <v>262</v>
      </c>
      <c r="B78" s="76" t="s">
        <v>309</v>
      </c>
      <c r="C78" s="81" t="s">
        <v>16</v>
      </c>
      <c r="D78" s="81" t="s">
        <v>45</v>
      </c>
      <c r="E78" s="81" t="s">
        <v>18</v>
      </c>
      <c r="F78" s="95" t="s">
        <v>42</v>
      </c>
      <c r="G78" s="81" t="s">
        <v>470</v>
      </c>
      <c r="H78" s="76" t="s">
        <v>471</v>
      </c>
      <c r="I78" s="87" t="s">
        <v>835</v>
      </c>
      <c r="J78" s="49"/>
      <c r="K78" s="95" t="s">
        <v>507</v>
      </c>
      <c r="L78" s="38" t="s">
        <v>517</v>
      </c>
      <c r="M78" s="258" t="s">
        <v>43</v>
      </c>
      <c r="N78" s="259"/>
      <c r="O78" s="155"/>
      <c r="P78" s="155"/>
      <c r="Q78" s="99" t="s">
        <v>504</v>
      </c>
      <c r="R78" s="97" t="s">
        <v>491</v>
      </c>
      <c r="S78" s="95" t="s">
        <v>499</v>
      </c>
      <c r="T78" s="124" t="s">
        <v>518</v>
      </c>
      <c r="U78" s="156" t="s">
        <v>518</v>
      </c>
      <c r="V78" s="159"/>
      <c r="W78" s="143"/>
      <c r="X78" s="161" t="s">
        <v>743</v>
      </c>
      <c r="Y78" s="97" t="s">
        <v>649</v>
      </c>
      <c r="Z78" s="169"/>
      <c r="AA78" s="179"/>
      <c r="AB78" s="178"/>
      <c r="AC78" s="151"/>
      <c r="AD78" s="151"/>
      <c r="AE78" s="151"/>
      <c r="AF78" s="151"/>
      <c r="AG78" s="151"/>
      <c r="AH78" s="260" t="s">
        <v>838</v>
      </c>
      <c r="AI78" s="159"/>
      <c r="AJ78" s="261"/>
    </row>
    <row r="79" spans="1:36" ht="12" hidden="1" customHeight="1">
      <c r="A79" s="97" t="s">
        <v>265</v>
      </c>
      <c r="B79" s="76" t="s">
        <v>1140</v>
      </c>
      <c r="C79" s="81" t="s">
        <v>16</v>
      </c>
      <c r="D79" s="81" t="s">
        <v>45</v>
      </c>
      <c r="E79" s="81" t="s">
        <v>18</v>
      </c>
      <c r="F79" s="95" t="s">
        <v>42</v>
      </c>
      <c r="G79" s="81" t="s">
        <v>474</v>
      </c>
      <c r="H79" s="85" t="s">
        <v>1141</v>
      </c>
      <c r="I79" s="87" t="s">
        <v>1142</v>
      </c>
      <c r="J79" s="49"/>
      <c r="K79" s="95" t="s">
        <v>507</v>
      </c>
      <c r="L79" s="38" t="s">
        <v>905</v>
      </c>
      <c r="M79" s="258" t="s">
        <v>912</v>
      </c>
      <c r="N79" s="259"/>
      <c r="O79" s="155"/>
      <c r="P79" s="155"/>
      <c r="Q79" s="99" t="s">
        <v>1143</v>
      </c>
      <c r="R79" s="97" t="s">
        <v>1144</v>
      </c>
      <c r="S79" s="81" t="s">
        <v>1145</v>
      </c>
      <c r="T79" s="124" t="s">
        <v>518</v>
      </c>
      <c r="U79" s="156" t="s">
        <v>518</v>
      </c>
      <c r="V79" s="159"/>
      <c r="W79" s="143"/>
      <c r="X79" s="161" t="s">
        <v>1146</v>
      </c>
      <c r="Y79" s="97" t="s">
        <v>639</v>
      </c>
      <c r="Z79" s="169"/>
      <c r="AA79" s="179"/>
      <c r="AB79" s="178"/>
      <c r="AC79" s="151"/>
      <c r="AD79" s="151"/>
      <c r="AE79" s="151"/>
      <c r="AF79" s="151"/>
      <c r="AG79" s="151"/>
      <c r="AH79" s="260" t="s">
        <v>838</v>
      </c>
      <c r="AI79" s="159"/>
      <c r="AJ79" s="261"/>
    </row>
    <row r="80" spans="1:36" ht="12" hidden="1" customHeight="1">
      <c r="A80" s="97" t="s">
        <v>266</v>
      </c>
      <c r="B80" s="76" t="s">
        <v>1147</v>
      </c>
      <c r="C80" s="81" t="s">
        <v>16</v>
      </c>
      <c r="D80" s="81" t="s">
        <v>45</v>
      </c>
      <c r="E80" s="81" t="s">
        <v>18</v>
      </c>
      <c r="F80" s="95" t="s">
        <v>42</v>
      </c>
      <c r="G80" s="81" t="s">
        <v>475</v>
      </c>
      <c r="H80" s="85" t="s">
        <v>1148</v>
      </c>
      <c r="I80" s="87" t="s">
        <v>1149</v>
      </c>
      <c r="J80" s="49"/>
      <c r="K80" s="95" t="s">
        <v>507</v>
      </c>
      <c r="L80" s="38" t="s">
        <v>905</v>
      </c>
      <c r="M80" s="258" t="s">
        <v>43</v>
      </c>
      <c r="N80" s="259" t="s">
        <v>1150</v>
      </c>
      <c r="O80" s="155"/>
      <c r="P80" s="155"/>
      <c r="Q80" s="78" t="s">
        <v>1151</v>
      </c>
      <c r="R80" s="97" t="s">
        <v>1144</v>
      </c>
      <c r="S80" s="81" t="s">
        <v>1145</v>
      </c>
      <c r="T80" s="124" t="s">
        <v>518</v>
      </c>
      <c r="U80" s="128" t="s">
        <v>1152</v>
      </c>
      <c r="V80" s="126" t="s">
        <v>1153</v>
      </c>
      <c r="W80" s="143" t="s">
        <v>1154</v>
      </c>
      <c r="X80" s="97" t="s">
        <v>1155</v>
      </c>
      <c r="Y80" s="97" t="s">
        <v>632</v>
      </c>
      <c r="Z80" s="169"/>
      <c r="AA80" s="179"/>
      <c r="AB80" s="178"/>
      <c r="AC80" s="151"/>
      <c r="AD80" s="151"/>
      <c r="AE80" s="151"/>
      <c r="AF80" s="151"/>
      <c r="AG80" s="151"/>
      <c r="AH80" s="260" t="s">
        <v>838</v>
      </c>
      <c r="AI80" s="159"/>
      <c r="AJ80" s="261"/>
    </row>
    <row r="81" spans="1:36" ht="12" hidden="1" customHeight="1">
      <c r="A81" s="175" t="s">
        <v>1156</v>
      </c>
      <c r="B81" s="77" t="s">
        <v>1147</v>
      </c>
      <c r="C81" s="82" t="s">
        <v>16</v>
      </c>
      <c r="D81" s="82" t="s">
        <v>45</v>
      </c>
      <c r="E81" s="82" t="s">
        <v>18</v>
      </c>
      <c r="F81" s="96" t="s">
        <v>42</v>
      </c>
      <c r="G81" s="82" t="s">
        <v>1157</v>
      </c>
      <c r="H81" s="86" t="s">
        <v>1158</v>
      </c>
      <c r="I81" s="87" t="s">
        <v>1159</v>
      </c>
      <c r="J81" s="49"/>
      <c r="K81" s="95" t="s">
        <v>507</v>
      </c>
      <c r="L81" s="38" t="s">
        <v>905</v>
      </c>
      <c r="M81" s="258" t="s">
        <v>43</v>
      </c>
      <c r="N81" s="259"/>
      <c r="O81" s="155"/>
      <c r="P81" s="155"/>
      <c r="Q81" s="78" t="s">
        <v>1143</v>
      </c>
      <c r="R81" s="97" t="s">
        <v>1144</v>
      </c>
      <c r="S81" s="81" t="s">
        <v>1145</v>
      </c>
      <c r="T81" s="124" t="s">
        <v>518</v>
      </c>
      <c r="U81" s="163" t="s">
        <v>518</v>
      </c>
      <c r="V81" s="126"/>
      <c r="W81" s="143"/>
      <c r="X81" s="97" t="s">
        <v>1155</v>
      </c>
      <c r="Y81" s="97" t="s">
        <v>666</v>
      </c>
      <c r="Z81" s="169"/>
      <c r="AA81" s="181"/>
      <c r="AB81" s="178"/>
      <c r="AC81" s="151"/>
      <c r="AD81" s="151"/>
      <c r="AE81" s="151"/>
      <c r="AF81" s="151"/>
      <c r="AG81" s="151"/>
      <c r="AH81" s="260" t="s">
        <v>838</v>
      </c>
      <c r="AI81" s="159"/>
      <c r="AJ81" s="261"/>
    </row>
    <row r="82" spans="1:36" ht="12" hidden="1" customHeight="1">
      <c r="A82" s="97" t="s">
        <v>152</v>
      </c>
      <c r="B82" s="74" t="s">
        <v>273</v>
      </c>
      <c r="C82" s="81" t="s">
        <v>16</v>
      </c>
      <c r="D82" s="81" t="s">
        <v>45</v>
      </c>
      <c r="E82" s="81" t="s">
        <v>18</v>
      </c>
      <c r="F82" s="95" t="s">
        <v>939</v>
      </c>
      <c r="G82" s="81" t="s">
        <v>332</v>
      </c>
      <c r="H82" s="74" t="s">
        <v>273</v>
      </c>
      <c r="I82" s="90" t="s">
        <v>1160</v>
      </c>
      <c r="J82" s="49"/>
      <c r="K82" s="81" t="s">
        <v>1161</v>
      </c>
      <c r="L82" s="38" t="s">
        <v>905</v>
      </c>
      <c r="M82" s="258" t="s">
        <v>43</v>
      </c>
      <c r="N82" s="259"/>
      <c r="O82" s="155"/>
      <c r="P82" s="155"/>
      <c r="Q82" s="78" t="s">
        <v>913</v>
      </c>
      <c r="R82" s="81" t="s">
        <v>907</v>
      </c>
      <c r="S82" s="97" t="s">
        <v>1162</v>
      </c>
      <c r="T82" s="124" t="s">
        <v>518</v>
      </c>
      <c r="U82" s="95" t="s">
        <v>1163</v>
      </c>
      <c r="V82" s="95" t="s">
        <v>1164</v>
      </c>
      <c r="W82" s="143"/>
      <c r="X82" s="97" t="s">
        <v>638</v>
      </c>
      <c r="Y82" s="97" t="s">
        <v>639</v>
      </c>
      <c r="Z82" s="169"/>
      <c r="AA82" s="179"/>
      <c r="AB82" s="178"/>
      <c r="AC82" s="151"/>
      <c r="AD82" s="151"/>
      <c r="AE82" s="151"/>
      <c r="AF82" s="151"/>
      <c r="AG82" s="151"/>
      <c r="AH82" s="260" t="s">
        <v>838</v>
      </c>
      <c r="AI82" s="159"/>
      <c r="AJ82" s="261"/>
    </row>
    <row r="83" spans="1:36" ht="12" hidden="1" customHeight="1">
      <c r="A83" s="97" t="s">
        <v>153</v>
      </c>
      <c r="B83" s="74" t="s">
        <v>274</v>
      </c>
      <c r="C83" s="81" t="s">
        <v>16</v>
      </c>
      <c r="D83" s="81" t="s">
        <v>45</v>
      </c>
      <c r="E83" s="81" t="s">
        <v>18</v>
      </c>
      <c r="F83" s="95" t="s">
        <v>362</v>
      </c>
      <c r="G83" s="81" t="s">
        <v>333</v>
      </c>
      <c r="H83" s="74" t="s">
        <v>274</v>
      </c>
      <c r="I83" s="90" t="s">
        <v>1165</v>
      </c>
      <c r="J83" s="49"/>
      <c r="K83" s="81" t="s">
        <v>1161</v>
      </c>
      <c r="L83" s="38" t="s">
        <v>905</v>
      </c>
      <c r="M83" s="258" t="s">
        <v>912</v>
      </c>
      <c r="N83" s="259"/>
      <c r="O83" s="155"/>
      <c r="P83" s="155"/>
      <c r="Q83" s="78" t="s">
        <v>913</v>
      </c>
      <c r="R83" s="81" t="s">
        <v>907</v>
      </c>
      <c r="S83" s="97" t="s">
        <v>1162</v>
      </c>
      <c r="T83" s="124" t="s">
        <v>1032</v>
      </c>
      <c r="U83" s="95" t="s">
        <v>1166</v>
      </c>
      <c r="V83" s="95" t="s">
        <v>1167</v>
      </c>
      <c r="W83" s="143"/>
      <c r="X83" s="97" t="s">
        <v>638</v>
      </c>
      <c r="Y83" s="97" t="s">
        <v>639</v>
      </c>
      <c r="Z83" s="169"/>
      <c r="AA83" s="179"/>
      <c r="AB83" s="178"/>
      <c r="AC83" s="151"/>
      <c r="AD83" s="151"/>
      <c r="AE83" s="151"/>
      <c r="AF83" s="151"/>
      <c r="AG83" s="151"/>
      <c r="AH83" s="260" t="s">
        <v>838</v>
      </c>
      <c r="AI83" s="159"/>
      <c r="AJ83" s="261"/>
    </row>
    <row r="84" spans="1:36" ht="12" hidden="1" customHeight="1">
      <c r="A84" s="170" t="s">
        <v>154</v>
      </c>
      <c r="B84" s="224" t="s">
        <v>1168</v>
      </c>
      <c r="C84" s="83" t="s">
        <v>16</v>
      </c>
      <c r="D84" s="83" t="s">
        <v>45</v>
      </c>
      <c r="E84" s="83" t="s">
        <v>19</v>
      </c>
      <c r="F84" s="170" t="s">
        <v>362</v>
      </c>
      <c r="G84" s="83" t="s">
        <v>334</v>
      </c>
      <c r="H84" s="224" t="s">
        <v>1168</v>
      </c>
      <c r="I84" s="227" t="s">
        <v>1169</v>
      </c>
      <c r="J84" s="49"/>
      <c r="K84" s="83" t="s">
        <v>480</v>
      </c>
      <c r="L84" s="48" t="s">
        <v>905</v>
      </c>
      <c r="M84" s="264" t="s">
        <v>44</v>
      </c>
      <c r="N84" s="265" t="s">
        <v>1170</v>
      </c>
      <c r="O84" s="155"/>
      <c r="P84" s="155"/>
      <c r="Q84" s="225" t="s">
        <v>1171</v>
      </c>
      <c r="R84" s="83" t="s">
        <v>907</v>
      </c>
      <c r="S84" s="170" t="s">
        <v>1162</v>
      </c>
      <c r="T84" s="124" t="s">
        <v>518</v>
      </c>
      <c r="U84" s="95" t="s">
        <v>1172</v>
      </c>
      <c r="V84" s="95" t="s">
        <v>1173</v>
      </c>
      <c r="W84" s="143"/>
      <c r="X84" s="97" t="s">
        <v>1174</v>
      </c>
      <c r="Y84" s="97" t="s">
        <v>639</v>
      </c>
      <c r="Z84" s="169"/>
      <c r="AA84" s="179"/>
      <c r="AB84" s="178"/>
      <c r="AC84" s="151"/>
      <c r="AD84" s="151"/>
      <c r="AE84" s="151"/>
      <c r="AF84" s="151"/>
      <c r="AG84" s="151"/>
      <c r="AH84" s="260" t="s">
        <v>838</v>
      </c>
      <c r="AI84" s="159"/>
      <c r="AJ84" s="261"/>
    </row>
    <row r="85" spans="1:36" ht="12" hidden="1" customHeight="1">
      <c r="A85" s="137" t="s">
        <v>266</v>
      </c>
      <c r="B85" s="125" t="s">
        <v>1147</v>
      </c>
      <c r="C85" s="103" t="s">
        <v>16</v>
      </c>
      <c r="D85" s="103" t="s">
        <v>45</v>
      </c>
      <c r="E85" s="103" t="s">
        <v>18</v>
      </c>
      <c r="F85" s="137" t="s">
        <v>42</v>
      </c>
      <c r="G85" s="103" t="s">
        <v>1175</v>
      </c>
      <c r="H85" s="100" t="s">
        <v>1176</v>
      </c>
      <c r="I85" s="88" t="s">
        <v>1177</v>
      </c>
      <c r="J85" s="49"/>
      <c r="K85" s="109" t="s">
        <v>507</v>
      </c>
      <c r="L85" s="145" t="s">
        <v>905</v>
      </c>
      <c r="M85" s="268" t="s">
        <v>43</v>
      </c>
      <c r="N85" s="269" t="s">
        <v>1178</v>
      </c>
      <c r="O85" s="155"/>
      <c r="P85" s="155"/>
      <c r="Q85" s="134" t="s">
        <v>1179</v>
      </c>
      <c r="R85" s="100" t="s">
        <v>1180</v>
      </c>
      <c r="S85" s="103" t="s">
        <v>1181</v>
      </c>
      <c r="T85" s="124" t="s">
        <v>1032</v>
      </c>
      <c r="U85" s="160"/>
      <c r="V85" s="53"/>
      <c r="W85" s="144"/>
      <c r="X85" s="137" t="s">
        <v>1155</v>
      </c>
      <c r="Y85" s="97" t="s">
        <v>631</v>
      </c>
      <c r="Z85" s="169"/>
      <c r="AA85" s="179"/>
      <c r="AB85" s="178"/>
      <c r="AC85" s="151"/>
      <c r="AD85" s="151"/>
      <c r="AE85" s="151"/>
      <c r="AF85" s="151"/>
      <c r="AG85" s="151"/>
      <c r="AH85" s="260" t="s">
        <v>840</v>
      </c>
      <c r="AI85" s="159"/>
      <c r="AJ85" s="261"/>
    </row>
    <row r="86" spans="1:36" ht="12" hidden="1" customHeight="1">
      <c r="A86" s="97" t="s">
        <v>216</v>
      </c>
      <c r="B86" s="76" t="s">
        <v>1182</v>
      </c>
      <c r="C86" s="81" t="s">
        <v>16</v>
      </c>
      <c r="D86" s="81" t="s">
        <v>45</v>
      </c>
      <c r="E86" s="81" t="s">
        <v>18</v>
      </c>
      <c r="F86" s="95" t="s">
        <v>42</v>
      </c>
      <c r="G86" s="81" t="s">
        <v>1183</v>
      </c>
      <c r="H86" s="76" t="s">
        <v>419</v>
      </c>
      <c r="I86" s="243" t="s">
        <v>1184</v>
      </c>
      <c r="J86" s="49"/>
      <c r="K86" s="95" t="s">
        <v>1185</v>
      </c>
      <c r="L86" s="38" t="s">
        <v>905</v>
      </c>
      <c r="M86" s="258" t="s">
        <v>43</v>
      </c>
      <c r="N86" s="259"/>
      <c r="O86" s="155"/>
      <c r="P86" s="155"/>
      <c r="Q86" s="78" t="s">
        <v>1186</v>
      </c>
      <c r="R86" s="81" t="s">
        <v>1187</v>
      </c>
      <c r="S86" s="81" t="s">
        <v>1188</v>
      </c>
      <c r="T86" s="124" t="s">
        <v>518</v>
      </c>
      <c r="U86" s="156" t="s">
        <v>1032</v>
      </c>
      <c r="V86" s="159"/>
      <c r="W86" s="143"/>
      <c r="X86" s="97" t="s">
        <v>1189</v>
      </c>
      <c r="Y86" s="97" t="s">
        <v>651</v>
      </c>
      <c r="Z86" s="169"/>
      <c r="AA86" s="179"/>
      <c r="AB86" s="178"/>
      <c r="AC86" s="151"/>
      <c r="AD86" s="151"/>
      <c r="AE86" s="151"/>
      <c r="AF86" s="151"/>
      <c r="AG86" s="151"/>
      <c r="AH86" s="260" t="s">
        <v>841</v>
      </c>
      <c r="AI86" s="159"/>
      <c r="AJ86" s="261"/>
    </row>
    <row r="87" spans="1:36" ht="12" hidden="1" customHeight="1">
      <c r="A87" s="170" t="s">
        <v>217</v>
      </c>
      <c r="B87" s="223" t="s">
        <v>302</v>
      </c>
      <c r="C87" s="83" t="s">
        <v>16</v>
      </c>
      <c r="D87" s="83" t="s">
        <v>45</v>
      </c>
      <c r="E87" s="83" t="s">
        <v>19</v>
      </c>
      <c r="F87" s="170" t="s">
        <v>42</v>
      </c>
      <c r="G87" s="83" t="s">
        <v>420</v>
      </c>
      <c r="H87" s="223" t="s">
        <v>302</v>
      </c>
      <c r="I87" s="93" t="s">
        <v>1190</v>
      </c>
      <c r="J87" s="49"/>
      <c r="K87" s="170" t="s">
        <v>486</v>
      </c>
      <c r="L87" s="48" t="s">
        <v>905</v>
      </c>
      <c r="M87" s="264" t="s">
        <v>44</v>
      </c>
      <c r="N87" s="267"/>
      <c r="O87" s="155"/>
      <c r="P87" s="155"/>
      <c r="Q87" s="143" t="s">
        <v>1191</v>
      </c>
      <c r="R87" s="83" t="s">
        <v>1187</v>
      </c>
      <c r="S87" s="83" t="s">
        <v>1188</v>
      </c>
      <c r="T87" s="124" t="s">
        <v>518</v>
      </c>
      <c r="U87" s="156" t="s">
        <v>518</v>
      </c>
      <c r="V87" s="159"/>
      <c r="W87" s="143"/>
      <c r="X87" s="97" t="s">
        <v>1189</v>
      </c>
      <c r="Y87" s="97" t="s">
        <v>651</v>
      </c>
      <c r="Z87" s="169"/>
      <c r="AA87" s="179"/>
      <c r="AB87" s="178"/>
      <c r="AC87" s="151"/>
      <c r="AD87" s="151"/>
      <c r="AE87" s="151"/>
      <c r="AF87" s="151"/>
      <c r="AG87" s="151"/>
      <c r="AH87" s="260" t="s">
        <v>841</v>
      </c>
      <c r="AI87" s="159"/>
      <c r="AJ87" s="261"/>
    </row>
    <row r="88" spans="1:36" ht="12" hidden="1" customHeight="1">
      <c r="A88" s="170" t="s">
        <v>218</v>
      </c>
      <c r="B88" s="223" t="s">
        <v>303</v>
      </c>
      <c r="C88" s="83" t="s">
        <v>16</v>
      </c>
      <c r="D88" s="83" t="s">
        <v>45</v>
      </c>
      <c r="E88" s="83" t="s">
        <v>19</v>
      </c>
      <c r="F88" s="170" t="s">
        <v>42</v>
      </c>
      <c r="G88" s="83" t="s">
        <v>1192</v>
      </c>
      <c r="H88" s="223" t="s">
        <v>303</v>
      </c>
      <c r="I88" s="93" t="s">
        <v>1193</v>
      </c>
      <c r="J88" s="49"/>
      <c r="K88" s="170" t="s">
        <v>486</v>
      </c>
      <c r="L88" s="48" t="s">
        <v>905</v>
      </c>
      <c r="M88" s="264" t="s">
        <v>44</v>
      </c>
      <c r="N88" s="267"/>
      <c r="O88" s="155"/>
      <c r="P88" s="155"/>
      <c r="Q88" s="143" t="s">
        <v>1191</v>
      </c>
      <c r="R88" s="83" t="s">
        <v>1187</v>
      </c>
      <c r="S88" s="83" t="s">
        <v>1188</v>
      </c>
      <c r="T88" s="124" t="s">
        <v>518</v>
      </c>
      <c r="U88" s="156" t="s">
        <v>518</v>
      </c>
      <c r="V88" s="159"/>
      <c r="W88" s="143"/>
      <c r="X88" s="97" t="s">
        <v>1189</v>
      </c>
      <c r="Y88" s="97" t="s">
        <v>651</v>
      </c>
      <c r="Z88" s="169"/>
      <c r="AA88" s="179"/>
      <c r="AB88" s="178"/>
      <c r="AC88" s="151"/>
      <c r="AD88" s="151"/>
      <c r="AE88" s="151"/>
      <c r="AF88" s="151"/>
      <c r="AG88" s="151"/>
      <c r="AH88" s="260" t="s">
        <v>841</v>
      </c>
      <c r="AI88" s="159"/>
      <c r="AJ88" s="261"/>
    </row>
    <row r="89" spans="1:36" ht="12" hidden="1" customHeight="1">
      <c r="A89" s="170" t="s">
        <v>219</v>
      </c>
      <c r="B89" s="223" t="s">
        <v>1194</v>
      </c>
      <c r="C89" s="83" t="s">
        <v>16</v>
      </c>
      <c r="D89" s="83" t="s">
        <v>45</v>
      </c>
      <c r="E89" s="83" t="s">
        <v>19</v>
      </c>
      <c r="F89" s="170" t="s">
        <v>42</v>
      </c>
      <c r="G89" s="83" t="s">
        <v>421</v>
      </c>
      <c r="H89" s="223" t="s">
        <v>1194</v>
      </c>
      <c r="I89" s="227" t="s">
        <v>1195</v>
      </c>
      <c r="J89" s="49"/>
      <c r="K89" s="170" t="s">
        <v>1196</v>
      </c>
      <c r="L89" s="48" t="s">
        <v>905</v>
      </c>
      <c r="M89" s="264" t="s">
        <v>44</v>
      </c>
      <c r="N89" s="267"/>
      <c r="O89" s="155"/>
      <c r="P89" s="155"/>
      <c r="Q89" s="225" t="s">
        <v>1197</v>
      </c>
      <c r="R89" s="83" t="s">
        <v>1187</v>
      </c>
      <c r="S89" s="83" t="s">
        <v>1188</v>
      </c>
      <c r="T89" s="124" t="s">
        <v>518</v>
      </c>
      <c r="U89" s="156" t="s">
        <v>518</v>
      </c>
      <c r="V89" s="159"/>
      <c r="W89" s="143"/>
      <c r="X89" s="97" t="s">
        <v>1189</v>
      </c>
      <c r="Y89" s="97" t="s">
        <v>651</v>
      </c>
      <c r="Z89" s="169"/>
      <c r="AA89" s="179"/>
      <c r="AB89" s="178"/>
      <c r="AC89" s="151"/>
      <c r="AD89" s="151"/>
      <c r="AE89" s="151"/>
      <c r="AF89" s="151"/>
      <c r="AG89" s="151"/>
      <c r="AH89" s="260" t="s">
        <v>841</v>
      </c>
      <c r="AI89" s="159"/>
      <c r="AJ89" s="261"/>
    </row>
    <row r="90" spans="1:36" ht="12" hidden="1" customHeight="1">
      <c r="A90" s="170" t="s">
        <v>220</v>
      </c>
      <c r="B90" s="143" t="s">
        <v>1198</v>
      </c>
      <c r="C90" s="83" t="s">
        <v>16</v>
      </c>
      <c r="D90" s="83" t="s">
        <v>45</v>
      </c>
      <c r="E90" s="83" t="s">
        <v>19</v>
      </c>
      <c r="F90" s="170" t="s">
        <v>42</v>
      </c>
      <c r="G90" s="83" t="s">
        <v>1199</v>
      </c>
      <c r="H90" s="223" t="s">
        <v>422</v>
      </c>
      <c r="I90" s="228" t="s">
        <v>1200</v>
      </c>
      <c r="J90" s="49"/>
      <c r="K90" s="170" t="s">
        <v>1196</v>
      </c>
      <c r="L90" s="48" t="s">
        <v>905</v>
      </c>
      <c r="M90" s="264" t="s">
        <v>44</v>
      </c>
      <c r="N90" s="270" t="s">
        <v>1201</v>
      </c>
      <c r="O90" s="155"/>
      <c r="P90" s="155"/>
      <c r="Q90" s="225" t="s">
        <v>1202</v>
      </c>
      <c r="R90" s="83" t="s">
        <v>1187</v>
      </c>
      <c r="S90" s="83" t="s">
        <v>1188</v>
      </c>
      <c r="T90" s="124" t="s">
        <v>518</v>
      </c>
      <c r="U90" s="84" t="s">
        <v>629</v>
      </c>
      <c r="V90" s="84" t="s">
        <v>1203</v>
      </c>
      <c r="W90" s="146" t="s">
        <v>1204</v>
      </c>
      <c r="X90" s="97" t="s">
        <v>1189</v>
      </c>
      <c r="Y90" s="97" t="s">
        <v>651</v>
      </c>
      <c r="Z90" s="169"/>
      <c r="AA90" s="179"/>
      <c r="AB90" s="178"/>
      <c r="AC90" s="151"/>
      <c r="AD90" s="151"/>
      <c r="AE90" s="151"/>
      <c r="AF90" s="151"/>
      <c r="AG90" s="151"/>
      <c r="AH90" s="260" t="s">
        <v>841</v>
      </c>
      <c r="AI90" s="159"/>
      <c r="AJ90" s="261"/>
    </row>
    <row r="91" spans="1:36" ht="12" hidden="1" customHeight="1">
      <c r="A91" s="170" t="s">
        <v>220</v>
      </c>
      <c r="B91" s="143" t="s">
        <v>1198</v>
      </c>
      <c r="C91" s="83" t="s">
        <v>16</v>
      </c>
      <c r="D91" s="83" t="s">
        <v>45</v>
      </c>
      <c r="E91" s="83" t="s">
        <v>19</v>
      </c>
      <c r="F91" s="170" t="s">
        <v>42</v>
      </c>
      <c r="G91" s="83" t="s">
        <v>1205</v>
      </c>
      <c r="H91" s="223" t="s">
        <v>423</v>
      </c>
      <c r="I91" s="227" t="s">
        <v>1206</v>
      </c>
      <c r="J91" s="49"/>
      <c r="K91" s="170" t="s">
        <v>1196</v>
      </c>
      <c r="L91" s="48" t="s">
        <v>905</v>
      </c>
      <c r="M91" s="264" t="s">
        <v>44</v>
      </c>
      <c r="N91" s="267"/>
      <c r="O91" s="155"/>
      <c r="P91" s="155"/>
      <c r="Q91" s="225" t="s">
        <v>1207</v>
      </c>
      <c r="R91" s="83" t="s">
        <v>1187</v>
      </c>
      <c r="S91" s="83" t="s">
        <v>1188</v>
      </c>
      <c r="T91" s="124" t="s">
        <v>518</v>
      </c>
      <c r="U91" s="156" t="s">
        <v>518</v>
      </c>
      <c r="V91" s="159"/>
      <c r="W91" s="143"/>
      <c r="X91" s="97" t="s">
        <v>1189</v>
      </c>
      <c r="Y91" s="97" t="s">
        <v>651</v>
      </c>
      <c r="Z91" s="169"/>
      <c r="AA91" s="179"/>
      <c r="AB91" s="178"/>
      <c r="AC91" s="151"/>
      <c r="AD91" s="151"/>
      <c r="AE91" s="151"/>
      <c r="AF91" s="151"/>
      <c r="AG91" s="151"/>
      <c r="AH91" s="260" t="s">
        <v>841</v>
      </c>
      <c r="AI91" s="159"/>
      <c r="AJ91" s="261"/>
    </row>
    <row r="92" spans="1:36" ht="12" hidden="1" customHeight="1">
      <c r="A92" s="170" t="s">
        <v>1208</v>
      </c>
      <c r="B92" s="223" t="s">
        <v>304</v>
      </c>
      <c r="C92" s="83" t="s">
        <v>16</v>
      </c>
      <c r="D92" s="83" t="s">
        <v>45</v>
      </c>
      <c r="E92" s="83" t="s">
        <v>19</v>
      </c>
      <c r="F92" s="170" t="s">
        <v>42</v>
      </c>
      <c r="G92" s="83" t="s">
        <v>424</v>
      </c>
      <c r="H92" s="223" t="s">
        <v>304</v>
      </c>
      <c r="I92" s="93" t="s">
        <v>1209</v>
      </c>
      <c r="J92" s="49"/>
      <c r="K92" s="170" t="s">
        <v>486</v>
      </c>
      <c r="L92" s="48" t="s">
        <v>905</v>
      </c>
      <c r="M92" s="264" t="s">
        <v>44</v>
      </c>
      <c r="N92" s="267"/>
      <c r="O92" s="155"/>
      <c r="P92" s="155"/>
      <c r="Q92" s="143" t="s">
        <v>1191</v>
      </c>
      <c r="R92" s="83" t="s">
        <v>1187</v>
      </c>
      <c r="S92" s="83" t="s">
        <v>1188</v>
      </c>
      <c r="T92" s="124" t="s">
        <v>518</v>
      </c>
      <c r="U92" s="156" t="s">
        <v>518</v>
      </c>
      <c r="V92" s="159"/>
      <c r="W92" s="143"/>
      <c r="X92" s="97" t="s">
        <v>1189</v>
      </c>
      <c r="Y92" s="97" t="s">
        <v>651</v>
      </c>
      <c r="Z92" s="169"/>
      <c r="AA92" s="179"/>
      <c r="AB92" s="178"/>
      <c r="AC92" s="151"/>
      <c r="AD92" s="151"/>
      <c r="AE92" s="151"/>
      <c r="AF92" s="151"/>
      <c r="AG92" s="151"/>
      <c r="AH92" s="260" t="s">
        <v>841</v>
      </c>
      <c r="AI92" s="159"/>
      <c r="AJ92" s="261"/>
    </row>
    <row r="93" spans="1:36" ht="12" hidden="1" customHeight="1">
      <c r="A93" s="97" t="s">
        <v>221</v>
      </c>
      <c r="B93" s="80" t="s">
        <v>1210</v>
      </c>
      <c r="C93" s="81" t="s">
        <v>16</v>
      </c>
      <c r="D93" s="81" t="s">
        <v>45</v>
      </c>
      <c r="E93" s="81" t="s">
        <v>18</v>
      </c>
      <c r="F93" s="95" t="s">
        <v>42</v>
      </c>
      <c r="G93" s="81" t="s">
        <v>425</v>
      </c>
      <c r="H93" s="76" t="s">
        <v>1211</v>
      </c>
      <c r="I93" s="90" t="s">
        <v>1212</v>
      </c>
      <c r="J93" s="49"/>
      <c r="K93" s="95" t="s">
        <v>1213</v>
      </c>
      <c r="L93" s="38" t="s">
        <v>905</v>
      </c>
      <c r="M93" s="258" t="s">
        <v>43</v>
      </c>
      <c r="N93" s="259" t="s">
        <v>1214</v>
      </c>
      <c r="O93" s="155"/>
      <c r="P93" s="155"/>
      <c r="Q93" s="78" t="s">
        <v>1215</v>
      </c>
      <c r="R93" s="81" t="s">
        <v>1187</v>
      </c>
      <c r="S93" s="81" t="s">
        <v>1188</v>
      </c>
      <c r="T93" s="124" t="s">
        <v>1032</v>
      </c>
      <c r="U93" s="156" t="s">
        <v>518</v>
      </c>
      <c r="V93" s="159"/>
      <c r="W93" s="143"/>
      <c r="X93" s="97" t="s">
        <v>1189</v>
      </c>
      <c r="Y93" s="97" t="s">
        <v>651</v>
      </c>
      <c r="Z93" s="169"/>
      <c r="AA93" s="179"/>
      <c r="AB93" s="178"/>
      <c r="AC93" s="151"/>
      <c r="AD93" s="151"/>
      <c r="AE93" s="151"/>
      <c r="AF93" s="151"/>
      <c r="AG93" s="151"/>
      <c r="AH93" s="260" t="s">
        <v>841</v>
      </c>
      <c r="AI93" s="159"/>
      <c r="AJ93" s="261"/>
    </row>
    <row r="94" spans="1:36" ht="12" hidden="1" customHeight="1">
      <c r="A94" s="97" t="s">
        <v>222</v>
      </c>
      <c r="B94" s="80" t="s">
        <v>1216</v>
      </c>
      <c r="C94" s="81" t="s">
        <v>16</v>
      </c>
      <c r="D94" s="81" t="s">
        <v>45</v>
      </c>
      <c r="E94" s="81" t="s">
        <v>18</v>
      </c>
      <c r="F94" s="95" t="s">
        <v>42</v>
      </c>
      <c r="G94" s="81" t="s">
        <v>426</v>
      </c>
      <c r="H94" s="76" t="s">
        <v>1217</v>
      </c>
      <c r="I94" s="90" t="s">
        <v>1218</v>
      </c>
      <c r="J94" s="49"/>
      <c r="K94" s="95" t="s">
        <v>1196</v>
      </c>
      <c r="L94" s="38" t="s">
        <v>905</v>
      </c>
      <c r="M94" s="258" t="s">
        <v>1219</v>
      </c>
      <c r="N94" s="259" t="s">
        <v>1220</v>
      </c>
      <c r="O94" s="155"/>
      <c r="P94" s="155"/>
      <c r="Q94" s="78" t="s">
        <v>635</v>
      </c>
      <c r="R94" s="81" t="s">
        <v>1187</v>
      </c>
      <c r="S94" s="81" t="s">
        <v>1188</v>
      </c>
      <c r="T94" s="124" t="s">
        <v>1032</v>
      </c>
      <c r="U94" s="95" t="s">
        <v>1221</v>
      </c>
      <c r="V94" s="95" t="s">
        <v>1222</v>
      </c>
      <c r="W94" s="143"/>
      <c r="X94" s="97" t="s">
        <v>1189</v>
      </c>
      <c r="Y94" s="97" t="s">
        <v>651</v>
      </c>
      <c r="Z94" s="174"/>
      <c r="AA94" s="179"/>
      <c r="AB94" s="178"/>
      <c r="AC94" s="151"/>
      <c r="AD94" s="151"/>
      <c r="AE94" s="151"/>
      <c r="AF94" s="151"/>
      <c r="AG94" s="151"/>
      <c r="AH94" s="260" t="s">
        <v>841</v>
      </c>
      <c r="AI94" s="159"/>
      <c r="AJ94" s="263">
        <v>44320</v>
      </c>
    </row>
    <row r="95" spans="1:36" ht="12" hidden="1" customHeight="1">
      <c r="A95" s="97" t="s">
        <v>223</v>
      </c>
      <c r="B95" s="76" t="s">
        <v>1223</v>
      </c>
      <c r="C95" s="81" t="s">
        <v>16</v>
      </c>
      <c r="D95" s="81" t="s">
        <v>45</v>
      </c>
      <c r="E95" s="81" t="s">
        <v>18</v>
      </c>
      <c r="F95" s="95" t="s">
        <v>42</v>
      </c>
      <c r="G95" s="81" t="s">
        <v>427</v>
      </c>
      <c r="H95" s="76" t="s">
        <v>428</v>
      </c>
      <c r="I95" s="243" t="s">
        <v>1224</v>
      </c>
      <c r="J95" s="49"/>
      <c r="K95" s="95" t="s">
        <v>1185</v>
      </c>
      <c r="L95" s="38" t="s">
        <v>905</v>
      </c>
      <c r="M95" s="258" t="s">
        <v>1219</v>
      </c>
      <c r="N95" s="259" t="s">
        <v>1225</v>
      </c>
      <c r="O95" s="155"/>
      <c r="P95" s="155"/>
      <c r="Q95" s="78" t="s">
        <v>1226</v>
      </c>
      <c r="R95" s="81" t="s">
        <v>1187</v>
      </c>
      <c r="S95" s="81" t="s">
        <v>1188</v>
      </c>
      <c r="T95" s="124" t="s">
        <v>1032</v>
      </c>
      <c r="U95" s="95" t="s">
        <v>1221</v>
      </c>
      <c r="V95" s="95" t="s">
        <v>1227</v>
      </c>
      <c r="W95" s="143"/>
      <c r="X95" s="97" t="s">
        <v>1189</v>
      </c>
      <c r="Y95" s="97" t="s">
        <v>651</v>
      </c>
      <c r="Z95" s="169"/>
      <c r="AA95" s="179"/>
      <c r="AB95" s="178"/>
      <c r="AC95" s="151"/>
      <c r="AD95" s="151"/>
      <c r="AE95" s="151"/>
      <c r="AF95" s="151"/>
      <c r="AG95" s="151"/>
      <c r="AH95" s="260" t="s">
        <v>841</v>
      </c>
      <c r="AI95" s="159"/>
      <c r="AJ95" s="263">
        <v>44320</v>
      </c>
    </row>
    <row r="96" spans="1:36" ht="12" hidden="1" customHeight="1">
      <c r="A96" s="170" t="s">
        <v>1228</v>
      </c>
      <c r="B96" s="223" t="s">
        <v>1229</v>
      </c>
      <c r="C96" s="83" t="s">
        <v>16</v>
      </c>
      <c r="D96" s="83" t="s">
        <v>45</v>
      </c>
      <c r="E96" s="83" t="s">
        <v>19</v>
      </c>
      <c r="F96" s="170" t="s">
        <v>42</v>
      </c>
      <c r="G96" s="83" t="s">
        <v>1230</v>
      </c>
      <c r="H96" s="223" t="s">
        <v>1231</v>
      </c>
      <c r="I96" s="228" t="s">
        <v>1232</v>
      </c>
      <c r="J96" s="49"/>
      <c r="K96" s="170" t="s">
        <v>1196</v>
      </c>
      <c r="L96" s="48" t="s">
        <v>905</v>
      </c>
      <c r="M96" s="266" t="s">
        <v>44</v>
      </c>
      <c r="N96" s="265"/>
      <c r="O96" s="155"/>
      <c r="P96" s="155"/>
      <c r="Q96" s="225" t="s">
        <v>749</v>
      </c>
      <c r="R96" s="83" t="s">
        <v>1187</v>
      </c>
      <c r="S96" s="83" t="s">
        <v>1188</v>
      </c>
      <c r="T96" s="124" t="s">
        <v>1032</v>
      </c>
      <c r="U96" s="156" t="s">
        <v>518</v>
      </c>
      <c r="V96" s="159"/>
      <c r="W96" s="143"/>
      <c r="X96" s="97" t="s">
        <v>1189</v>
      </c>
      <c r="Y96" s="97" t="s">
        <v>651</v>
      </c>
      <c r="Z96" s="169"/>
      <c r="AA96" s="179"/>
      <c r="AB96" s="178"/>
      <c r="AC96" s="151"/>
      <c r="AD96" s="151"/>
      <c r="AE96" s="151"/>
      <c r="AF96" s="151"/>
      <c r="AG96" s="151"/>
      <c r="AH96" s="260" t="s">
        <v>841</v>
      </c>
      <c r="AI96" s="159"/>
      <c r="AJ96" s="261"/>
    </row>
    <row r="97" spans="1:36" ht="12" hidden="1" customHeight="1">
      <c r="A97" s="97" t="s">
        <v>224</v>
      </c>
      <c r="B97" s="76" t="s">
        <v>1233</v>
      </c>
      <c r="C97" s="81" t="s">
        <v>16</v>
      </c>
      <c r="D97" s="81" t="s">
        <v>45</v>
      </c>
      <c r="E97" s="81" t="s">
        <v>18</v>
      </c>
      <c r="F97" s="95" t="s">
        <v>42</v>
      </c>
      <c r="G97" s="81" t="s">
        <v>429</v>
      </c>
      <c r="H97" s="76" t="s">
        <v>1234</v>
      </c>
      <c r="I97" s="243" t="s">
        <v>1235</v>
      </c>
      <c r="J97" s="49"/>
      <c r="K97" s="95" t="s">
        <v>1196</v>
      </c>
      <c r="L97" s="38" t="s">
        <v>905</v>
      </c>
      <c r="M97" s="258" t="s">
        <v>43</v>
      </c>
      <c r="N97" s="259"/>
      <c r="O97" s="155"/>
      <c r="P97" s="155"/>
      <c r="Q97" s="78" t="s">
        <v>1236</v>
      </c>
      <c r="R97" s="81" t="s">
        <v>1187</v>
      </c>
      <c r="S97" s="81" t="s">
        <v>1188</v>
      </c>
      <c r="T97" s="124" t="s">
        <v>1032</v>
      </c>
      <c r="U97" s="156" t="s">
        <v>518</v>
      </c>
      <c r="V97" s="159"/>
      <c r="W97" s="143"/>
      <c r="X97" s="97" t="s">
        <v>1189</v>
      </c>
      <c r="Y97" s="97" t="s">
        <v>651</v>
      </c>
      <c r="Z97" s="169"/>
      <c r="AA97" s="179"/>
      <c r="AB97" s="178"/>
      <c r="AC97" s="151"/>
      <c r="AD97" s="151"/>
      <c r="AE97" s="151"/>
      <c r="AF97" s="151"/>
      <c r="AG97" s="151"/>
      <c r="AH97" s="260" t="s">
        <v>841</v>
      </c>
      <c r="AI97" s="159"/>
      <c r="AJ97" s="261"/>
    </row>
    <row r="98" spans="1:36" ht="12" hidden="1" customHeight="1">
      <c r="A98" s="97" t="s">
        <v>225</v>
      </c>
      <c r="B98" s="76" t="s">
        <v>1237</v>
      </c>
      <c r="C98" s="81" t="s">
        <v>16</v>
      </c>
      <c r="D98" s="81" t="s">
        <v>45</v>
      </c>
      <c r="E98" s="81" t="s">
        <v>18</v>
      </c>
      <c r="F98" s="95" t="s">
        <v>42</v>
      </c>
      <c r="G98" s="81" t="s">
        <v>430</v>
      </c>
      <c r="H98" s="76" t="s">
        <v>431</v>
      </c>
      <c r="I98" s="90" t="s">
        <v>1238</v>
      </c>
      <c r="J98" s="49"/>
      <c r="K98" s="95" t="s">
        <v>1196</v>
      </c>
      <c r="L98" s="38" t="s">
        <v>905</v>
      </c>
      <c r="M98" s="258" t="s">
        <v>1219</v>
      </c>
      <c r="N98" s="259" t="s">
        <v>1239</v>
      </c>
      <c r="O98" s="155"/>
      <c r="P98" s="155"/>
      <c r="Q98" s="78" t="s">
        <v>635</v>
      </c>
      <c r="R98" s="81" t="s">
        <v>1187</v>
      </c>
      <c r="S98" s="81" t="s">
        <v>1188</v>
      </c>
      <c r="T98" s="124" t="s">
        <v>1032</v>
      </c>
      <c r="U98" s="95" t="s">
        <v>1221</v>
      </c>
      <c r="V98" s="95" t="s">
        <v>1240</v>
      </c>
      <c r="W98" s="143"/>
      <c r="X98" s="97" t="s">
        <v>1189</v>
      </c>
      <c r="Y98" s="97" t="s">
        <v>651</v>
      </c>
      <c r="Z98" s="174"/>
      <c r="AA98" s="179"/>
      <c r="AB98" s="178"/>
      <c r="AC98" s="151"/>
      <c r="AD98" s="151"/>
      <c r="AE98" s="151"/>
      <c r="AF98" s="151"/>
      <c r="AG98" s="151"/>
      <c r="AH98" s="260" t="s">
        <v>841</v>
      </c>
      <c r="AI98" s="159"/>
      <c r="AJ98" s="263">
        <v>44347</v>
      </c>
    </row>
    <row r="99" spans="1:36" ht="12" hidden="1" customHeight="1">
      <c r="A99" s="97" t="s">
        <v>226</v>
      </c>
      <c r="B99" s="85" t="s">
        <v>305</v>
      </c>
      <c r="C99" s="81" t="s">
        <v>16</v>
      </c>
      <c r="D99" s="81" t="s">
        <v>45</v>
      </c>
      <c r="E99" s="81" t="s">
        <v>18</v>
      </c>
      <c r="F99" s="97" t="s">
        <v>42</v>
      </c>
      <c r="G99" s="81" t="s">
        <v>1241</v>
      </c>
      <c r="H99" s="85" t="s">
        <v>305</v>
      </c>
      <c r="I99" s="208" t="s">
        <v>1242</v>
      </c>
      <c r="J99" s="37"/>
      <c r="K99" s="97" t="s">
        <v>1243</v>
      </c>
      <c r="L99" s="38" t="s">
        <v>905</v>
      </c>
      <c r="M99" s="271" t="s">
        <v>43</v>
      </c>
      <c r="N99" s="272"/>
      <c r="O99" s="246"/>
      <c r="P99" s="246"/>
      <c r="Q99" s="99" t="s">
        <v>1244</v>
      </c>
      <c r="R99" s="83" t="s">
        <v>1187</v>
      </c>
      <c r="S99" s="83" t="s">
        <v>1188</v>
      </c>
      <c r="T99" s="124" t="s">
        <v>518</v>
      </c>
      <c r="U99" s="156" t="s">
        <v>518</v>
      </c>
      <c r="V99" s="159"/>
      <c r="W99" s="143"/>
      <c r="X99" s="97" t="s">
        <v>1189</v>
      </c>
      <c r="Y99" s="97" t="s">
        <v>651</v>
      </c>
      <c r="Z99" s="169"/>
      <c r="AA99" s="179"/>
      <c r="AB99" s="178"/>
      <c r="AC99" s="151"/>
      <c r="AD99" s="151"/>
      <c r="AE99" s="151"/>
      <c r="AF99" s="151"/>
      <c r="AG99" s="151"/>
      <c r="AH99" s="260" t="s">
        <v>841</v>
      </c>
      <c r="AI99" s="159"/>
      <c r="AJ99" s="261"/>
    </row>
    <row r="100" spans="1:36" ht="12" hidden="1" customHeight="1">
      <c r="A100" s="97" t="s">
        <v>227</v>
      </c>
      <c r="B100" s="76" t="s">
        <v>1245</v>
      </c>
      <c r="C100" s="81" t="s">
        <v>16</v>
      </c>
      <c r="D100" s="81" t="s">
        <v>45</v>
      </c>
      <c r="E100" s="81" t="s">
        <v>18</v>
      </c>
      <c r="F100" s="95" t="s">
        <v>42</v>
      </c>
      <c r="G100" s="81" t="s">
        <v>432</v>
      </c>
      <c r="H100" s="76" t="s">
        <v>433</v>
      </c>
      <c r="I100" s="90" t="s">
        <v>1246</v>
      </c>
      <c r="J100" s="49"/>
      <c r="K100" s="95" t="s">
        <v>1196</v>
      </c>
      <c r="L100" s="38" t="s">
        <v>905</v>
      </c>
      <c r="M100" s="258" t="s">
        <v>505</v>
      </c>
      <c r="N100" s="259" t="s">
        <v>1247</v>
      </c>
      <c r="O100" s="155"/>
      <c r="P100" s="155"/>
      <c r="Q100" s="78" t="s">
        <v>1248</v>
      </c>
      <c r="R100" s="81" t="s">
        <v>1187</v>
      </c>
      <c r="S100" s="81" t="s">
        <v>1188</v>
      </c>
      <c r="T100" s="124" t="s">
        <v>518</v>
      </c>
      <c r="U100" s="156" t="s">
        <v>518</v>
      </c>
      <c r="V100" s="159"/>
      <c r="W100" s="143"/>
      <c r="X100" s="97" t="s">
        <v>1189</v>
      </c>
      <c r="Y100" s="97" t="s">
        <v>651</v>
      </c>
      <c r="Z100" s="169"/>
      <c r="AA100" s="179"/>
      <c r="AB100" s="178"/>
      <c r="AC100" s="151"/>
      <c r="AD100" s="151"/>
      <c r="AE100" s="151"/>
      <c r="AF100" s="151"/>
      <c r="AG100" s="151"/>
      <c r="AH100" s="260" t="s">
        <v>841</v>
      </c>
      <c r="AI100" s="159"/>
      <c r="AJ100" s="263">
        <v>44320</v>
      </c>
    </row>
    <row r="101" spans="1:36" ht="12" hidden="1" customHeight="1">
      <c r="A101" s="97" t="s">
        <v>228</v>
      </c>
      <c r="B101" s="76" t="s">
        <v>1249</v>
      </c>
      <c r="C101" s="81" t="s">
        <v>16</v>
      </c>
      <c r="D101" s="81" t="s">
        <v>45</v>
      </c>
      <c r="E101" s="81" t="s">
        <v>18</v>
      </c>
      <c r="F101" s="95" t="s">
        <v>42</v>
      </c>
      <c r="G101" s="81" t="s">
        <v>1250</v>
      </c>
      <c r="H101" s="76" t="s">
        <v>1249</v>
      </c>
      <c r="I101" s="90" t="s">
        <v>1251</v>
      </c>
      <c r="J101" s="49"/>
      <c r="K101" s="95" t="s">
        <v>1196</v>
      </c>
      <c r="L101" s="38" t="s">
        <v>905</v>
      </c>
      <c r="M101" s="258" t="s">
        <v>1219</v>
      </c>
      <c r="N101" s="259" t="s">
        <v>1252</v>
      </c>
      <c r="O101" s="155"/>
      <c r="P101" s="155"/>
      <c r="Q101" s="78" t="s">
        <v>635</v>
      </c>
      <c r="R101" s="81" t="s">
        <v>1187</v>
      </c>
      <c r="S101" s="81" t="s">
        <v>1188</v>
      </c>
      <c r="T101" s="124" t="s">
        <v>518</v>
      </c>
      <c r="U101" s="97" t="s">
        <v>1152</v>
      </c>
      <c r="V101" s="97" t="s">
        <v>1253</v>
      </c>
      <c r="W101" s="143" t="s">
        <v>1254</v>
      </c>
      <c r="X101" s="97" t="s">
        <v>1189</v>
      </c>
      <c r="Y101" s="97" t="s">
        <v>651</v>
      </c>
      <c r="Z101" s="174"/>
      <c r="AA101" s="179"/>
      <c r="AB101" s="178"/>
      <c r="AC101" s="151"/>
      <c r="AD101" s="151"/>
      <c r="AE101" s="151"/>
      <c r="AF101" s="151"/>
      <c r="AG101" s="151"/>
      <c r="AH101" s="260" t="s">
        <v>841</v>
      </c>
      <c r="AI101" s="159"/>
      <c r="AJ101" s="263">
        <v>44320</v>
      </c>
    </row>
    <row r="102" spans="1:36" ht="12" hidden="1" customHeight="1">
      <c r="A102" s="97" t="s">
        <v>229</v>
      </c>
      <c r="B102" s="76" t="s">
        <v>1255</v>
      </c>
      <c r="C102" s="81" t="s">
        <v>16</v>
      </c>
      <c r="D102" s="81" t="s">
        <v>45</v>
      </c>
      <c r="E102" s="81" t="s">
        <v>18</v>
      </c>
      <c r="F102" s="95" t="s">
        <v>42</v>
      </c>
      <c r="G102" s="81" t="s">
        <v>434</v>
      </c>
      <c r="H102" s="76" t="s">
        <v>1256</v>
      </c>
      <c r="I102" s="90" t="s">
        <v>1257</v>
      </c>
      <c r="J102" s="49"/>
      <c r="K102" s="95" t="s">
        <v>1196</v>
      </c>
      <c r="L102" s="38" t="s">
        <v>905</v>
      </c>
      <c r="M102" s="258" t="s">
        <v>1219</v>
      </c>
      <c r="N102" s="259" t="s">
        <v>1258</v>
      </c>
      <c r="O102" s="155"/>
      <c r="P102" s="155"/>
      <c r="Q102" s="78" t="s">
        <v>635</v>
      </c>
      <c r="R102" s="81" t="s">
        <v>1187</v>
      </c>
      <c r="S102" s="81" t="s">
        <v>1188</v>
      </c>
      <c r="T102" s="124" t="s">
        <v>518</v>
      </c>
      <c r="U102" s="97" t="s">
        <v>1152</v>
      </c>
      <c r="V102" s="97" t="s">
        <v>1259</v>
      </c>
      <c r="W102" s="146" t="s">
        <v>1260</v>
      </c>
      <c r="X102" s="97" t="s">
        <v>1189</v>
      </c>
      <c r="Y102" s="97" t="s">
        <v>651</v>
      </c>
      <c r="Z102" s="174"/>
      <c r="AA102" s="179"/>
      <c r="AB102" s="178"/>
      <c r="AC102" s="151"/>
      <c r="AD102" s="151"/>
      <c r="AE102" s="151"/>
      <c r="AF102" s="151"/>
      <c r="AG102" s="151"/>
      <c r="AH102" s="260" t="s">
        <v>841</v>
      </c>
      <c r="AI102" s="159"/>
      <c r="AJ102" s="263">
        <v>44347</v>
      </c>
    </row>
    <row r="103" spans="1:36" ht="12" hidden="1" customHeight="1">
      <c r="A103" s="97" t="s">
        <v>230</v>
      </c>
      <c r="B103" s="76" t="s">
        <v>1261</v>
      </c>
      <c r="C103" s="81" t="s">
        <v>16</v>
      </c>
      <c r="D103" s="81" t="s">
        <v>45</v>
      </c>
      <c r="E103" s="81" t="s">
        <v>18</v>
      </c>
      <c r="F103" s="95" t="s">
        <v>42</v>
      </c>
      <c r="G103" s="81" t="s">
        <v>435</v>
      </c>
      <c r="H103" s="76" t="s">
        <v>436</v>
      </c>
      <c r="I103" s="90" t="s">
        <v>1262</v>
      </c>
      <c r="J103" s="49"/>
      <c r="K103" s="95" t="s">
        <v>1196</v>
      </c>
      <c r="L103" s="38" t="s">
        <v>905</v>
      </c>
      <c r="M103" s="258" t="s">
        <v>1219</v>
      </c>
      <c r="N103" s="259" t="s">
        <v>1220</v>
      </c>
      <c r="O103" s="155"/>
      <c r="P103" s="155"/>
      <c r="Q103" s="78" t="s">
        <v>488</v>
      </c>
      <c r="R103" s="81" t="s">
        <v>1187</v>
      </c>
      <c r="S103" s="81" t="s">
        <v>1188</v>
      </c>
      <c r="T103" s="124" t="s">
        <v>518</v>
      </c>
      <c r="U103" s="97" t="s">
        <v>1263</v>
      </c>
      <c r="V103" s="84" t="s">
        <v>625</v>
      </c>
      <c r="W103" s="143" t="s">
        <v>1264</v>
      </c>
      <c r="X103" s="97" t="s">
        <v>1189</v>
      </c>
      <c r="Y103" s="97" t="s">
        <v>651</v>
      </c>
      <c r="Z103" s="169"/>
      <c r="AA103" s="179"/>
      <c r="AB103" s="178"/>
      <c r="AC103" s="151"/>
      <c r="AD103" s="151"/>
      <c r="AE103" s="151"/>
      <c r="AF103" s="151"/>
      <c r="AG103" s="151"/>
      <c r="AH103" s="260" t="s">
        <v>841</v>
      </c>
      <c r="AI103" s="159"/>
      <c r="AJ103" s="263">
        <v>44320</v>
      </c>
    </row>
    <row r="104" spans="1:36" ht="12" hidden="1" customHeight="1">
      <c r="A104" s="97" t="s">
        <v>231</v>
      </c>
      <c r="B104" s="76" t="s">
        <v>1265</v>
      </c>
      <c r="C104" s="81" t="s">
        <v>16</v>
      </c>
      <c r="D104" s="81" t="s">
        <v>45</v>
      </c>
      <c r="E104" s="81" t="s">
        <v>18</v>
      </c>
      <c r="F104" s="95" t="s">
        <v>42</v>
      </c>
      <c r="G104" s="81" t="s">
        <v>437</v>
      </c>
      <c r="H104" s="76" t="s">
        <v>1266</v>
      </c>
      <c r="I104" s="243" t="s">
        <v>1267</v>
      </c>
      <c r="J104" s="49"/>
      <c r="K104" s="95" t="s">
        <v>1196</v>
      </c>
      <c r="L104" s="38" t="s">
        <v>905</v>
      </c>
      <c r="M104" s="258" t="s">
        <v>1219</v>
      </c>
      <c r="N104" s="259" t="s">
        <v>1220</v>
      </c>
      <c r="O104" s="155"/>
      <c r="P104" s="155"/>
      <c r="Q104" s="78" t="s">
        <v>635</v>
      </c>
      <c r="R104" s="81" t="s">
        <v>1187</v>
      </c>
      <c r="S104" s="81" t="s">
        <v>1188</v>
      </c>
      <c r="T104" s="124" t="s">
        <v>518</v>
      </c>
      <c r="U104" s="97" t="s">
        <v>1152</v>
      </c>
      <c r="V104" s="97" t="s">
        <v>1259</v>
      </c>
      <c r="W104" s="146" t="s">
        <v>1260</v>
      </c>
      <c r="X104" s="97" t="s">
        <v>1189</v>
      </c>
      <c r="Y104" s="97" t="s">
        <v>651</v>
      </c>
      <c r="Z104" s="174"/>
      <c r="AA104" s="179"/>
      <c r="AB104" s="178"/>
      <c r="AC104" s="151"/>
      <c r="AD104" s="151"/>
      <c r="AE104" s="151"/>
      <c r="AF104" s="151"/>
      <c r="AG104" s="151"/>
      <c r="AH104" s="260" t="s">
        <v>841</v>
      </c>
      <c r="AI104" s="159"/>
      <c r="AJ104" s="263">
        <v>44320</v>
      </c>
    </row>
    <row r="105" spans="1:36" ht="12" hidden="1" customHeight="1">
      <c r="A105" s="97" t="s">
        <v>248</v>
      </c>
      <c r="B105" s="76" t="s">
        <v>1268</v>
      </c>
      <c r="C105" s="81" t="s">
        <v>16</v>
      </c>
      <c r="D105" s="81" t="s">
        <v>45</v>
      </c>
      <c r="E105" s="81" t="s">
        <v>18</v>
      </c>
      <c r="F105" s="95" t="s">
        <v>939</v>
      </c>
      <c r="G105" s="81" t="s">
        <v>1269</v>
      </c>
      <c r="H105" s="76" t="s">
        <v>456</v>
      </c>
      <c r="I105" s="243" t="s">
        <v>1270</v>
      </c>
      <c r="J105" s="49"/>
      <c r="K105" s="95" t="s">
        <v>1271</v>
      </c>
      <c r="L105" s="38" t="s">
        <v>905</v>
      </c>
      <c r="M105" s="258" t="s">
        <v>505</v>
      </c>
      <c r="N105" s="259" t="s">
        <v>1272</v>
      </c>
      <c r="O105" s="155"/>
      <c r="P105" s="155"/>
      <c r="Q105" s="78" t="s">
        <v>1273</v>
      </c>
      <c r="R105" s="81" t="s">
        <v>1187</v>
      </c>
      <c r="S105" s="81" t="s">
        <v>1188</v>
      </c>
      <c r="T105" s="124" t="s">
        <v>518</v>
      </c>
      <c r="U105" s="156" t="s">
        <v>518</v>
      </c>
      <c r="V105" s="159"/>
      <c r="W105" s="143"/>
      <c r="X105" s="97" t="s">
        <v>1189</v>
      </c>
      <c r="Y105" s="97" t="s">
        <v>651</v>
      </c>
      <c r="Z105" s="169"/>
      <c r="AA105" s="179"/>
      <c r="AB105" s="178"/>
      <c r="AC105" s="151"/>
      <c r="AD105" s="151"/>
      <c r="AE105" s="151"/>
      <c r="AF105" s="151"/>
      <c r="AG105" s="151"/>
      <c r="AH105" s="260" t="s">
        <v>841</v>
      </c>
      <c r="AI105" s="159"/>
      <c r="AJ105" s="263">
        <v>44320</v>
      </c>
    </row>
    <row r="106" spans="1:36" ht="12" hidden="1" customHeight="1">
      <c r="A106" s="97" t="s">
        <v>232</v>
      </c>
      <c r="B106" s="76" t="s">
        <v>1274</v>
      </c>
      <c r="C106" s="81" t="s">
        <v>16</v>
      </c>
      <c r="D106" s="81" t="s">
        <v>45</v>
      </c>
      <c r="E106" s="81" t="s">
        <v>18</v>
      </c>
      <c r="F106" s="95" t="s">
        <v>42</v>
      </c>
      <c r="G106" s="81" t="s">
        <v>438</v>
      </c>
      <c r="H106" s="76" t="s">
        <v>439</v>
      </c>
      <c r="I106" s="243" t="s">
        <v>1275</v>
      </c>
      <c r="J106" s="49"/>
      <c r="K106" s="95" t="s">
        <v>1276</v>
      </c>
      <c r="L106" s="38" t="s">
        <v>905</v>
      </c>
      <c r="M106" s="258" t="s">
        <v>1219</v>
      </c>
      <c r="N106" s="259" t="s">
        <v>1277</v>
      </c>
      <c r="O106" s="155"/>
      <c r="P106" s="155"/>
      <c r="Q106" s="78" t="s">
        <v>1278</v>
      </c>
      <c r="R106" s="81" t="s">
        <v>1187</v>
      </c>
      <c r="S106" s="81" t="s">
        <v>1188</v>
      </c>
      <c r="T106" s="124" t="s">
        <v>518</v>
      </c>
      <c r="U106" s="97" t="s">
        <v>1263</v>
      </c>
      <c r="V106" s="84" t="s">
        <v>627</v>
      </c>
      <c r="W106" s="143" t="s">
        <v>1264</v>
      </c>
      <c r="X106" s="97" t="s">
        <v>1189</v>
      </c>
      <c r="Y106" s="97" t="s">
        <v>651</v>
      </c>
      <c r="Z106" s="174"/>
      <c r="AA106" s="179"/>
      <c r="AB106" s="178"/>
      <c r="AC106" s="151"/>
      <c r="AD106" s="151"/>
      <c r="AE106" s="151"/>
      <c r="AF106" s="151"/>
      <c r="AG106" s="151"/>
      <c r="AH106" s="260" t="s">
        <v>841</v>
      </c>
      <c r="AI106" s="159"/>
      <c r="AJ106" s="263">
        <v>44320</v>
      </c>
    </row>
    <row r="107" spans="1:36" ht="12" hidden="1" customHeight="1">
      <c r="A107" s="97" t="s">
        <v>233</v>
      </c>
      <c r="B107" s="76" t="s">
        <v>1279</v>
      </c>
      <c r="C107" s="81" t="s">
        <v>16</v>
      </c>
      <c r="D107" s="81" t="s">
        <v>45</v>
      </c>
      <c r="E107" s="81" t="s">
        <v>18</v>
      </c>
      <c r="F107" s="95" t="s">
        <v>42</v>
      </c>
      <c r="G107" s="81" t="s">
        <v>440</v>
      </c>
      <c r="H107" s="76" t="s">
        <v>1280</v>
      </c>
      <c r="I107" s="90" t="s">
        <v>1281</v>
      </c>
      <c r="J107" s="49"/>
      <c r="K107" s="95" t="s">
        <v>1276</v>
      </c>
      <c r="L107" s="38" t="s">
        <v>905</v>
      </c>
      <c r="M107" s="258" t="s">
        <v>1219</v>
      </c>
      <c r="N107" s="259" t="s">
        <v>1282</v>
      </c>
      <c r="O107" s="155"/>
      <c r="P107" s="155"/>
      <c r="Q107" s="78" t="s">
        <v>1226</v>
      </c>
      <c r="R107" s="81" t="s">
        <v>1187</v>
      </c>
      <c r="S107" s="81" t="s">
        <v>1188</v>
      </c>
      <c r="T107" s="124" t="s">
        <v>518</v>
      </c>
      <c r="U107" s="97" t="s">
        <v>1152</v>
      </c>
      <c r="V107" s="97" t="s">
        <v>1259</v>
      </c>
      <c r="W107" s="146" t="s">
        <v>1260</v>
      </c>
      <c r="X107" s="97" t="s">
        <v>1189</v>
      </c>
      <c r="Y107" s="97" t="s">
        <v>651</v>
      </c>
      <c r="Z107" s="169"/>
      <c r="AA107" s="179"/>
      <c r="AB107" s="178"/>
      <c r="AC107" s="151"/>
      <c r="AD107" s="151"/>
      <c r="AE107" s="151"/>
      <c r="AF107" s="151"/>
      <c r="AG107" s="151"/>
      <c r="AH107" s="260" t="s">
        <v>841</v>
      </c>
      <c r="AI107" s="159"/>
      <c r="AJ107" s="263">
        <v>44320</v>
      </c>
    </row>
    <row r="108" spans="1:36" ht="12" hidden="1" customHeight="1">
      <c r="A108" s="97" t="s">
        <v>234</v>
      </c>
      <c r="B108" s="80" t="s">
        <v>1283</v>
      </c>
      <c r="C108" s="81" t="s">
        <v>16</v>
      </c>
      <c r="D108" s="81" t="s">
        <v>45</v>
      </c>
      <c r="E108" s="81" t="s">
        <v>18</v>
      </c>
      <c r="F108" s="95" t="s">
        <v>42</v>
      </c>
      <c r="G108" s="81" t="s">
        <v>441</v>
      </c>
      <c r="H108" s="76" t="s">
        <v>1284</v>
      </c>
      <c r="I108" s="243" t="s">
        <v>1285</v>
      </c>
      <c r="J108" s="49"/>
      <c r="K108" s="95" t="s">
        <v>1276</v>
      </c>
      <c r="L108" s="38" t="s">
        <v>905</v>
      </c>
      <c r="M108" s="258" t="s">
        <v>1219</v>
      </c>
      <c r="N108" s="259" t="s">
        <v>1286</v>
      </c>
      <c r="O108" s="155"/>
      <c r="P108" s="155"/>
      <c r="Q108" s="78" t="s">
        <v>1248</v>
      </c>
      <c r="R108" s="81" t="s">
        <v>1187</v>
      </c>
      <c r="S108" s="81" t="s">
        <v>1188</v>
      </c>
      <c r="T108" s="124" t="s">
        <v>518</v>
      </c>
      <c r="U108" s="97" t="s">
        <v>1152</v>
      </c>
      <c r="V108" s="97" t="s">
        <v>1259</v>
      </c>
      <c r="W108" s="146" t="s">
        <v>1260</v>
      </c>
      <c r="X108" s="97" t="s">
        <v>1189</v>
      </c>
      <c r="Y108" s="97" t="s">
        <v>651</v>
      </c>
      <c r="Z108" s="174"/>
      <c r="AA108" s="179"/>
      <c r="AB108" s="178"/>
      <c r="AC108" s="151"/>
      <c r="AD108" s="151"/>
      <c r="AE108" s="151"/>
      <c r="AF108" s="151"/>
      <c r="AG108" s="151"/>
      <c r="AH108" s="260" t="s">
        <v>841</v>
      </c>
      <c r="AI108" s="159"/>
      <c r="AJ108" s="263">
        <v>44320</v>
      </c>
    </row>
    <row r="109" spans="1:36" ht="12" hidden="1" customHeight="1">
      <c r="A109" s="97" t="s">
        <v>237</v>
      </c>
      <c r="B109" s="76" t="s">
        <v>1287</v>
      </c>
      <c r="C109" s="81" t="s">
        <v>16</v>
      </c>
      <c r="D109" s="81" t="s">
        <v>45</v>
      </c>
      <c r="E109" s="81" t="s">
        <v>18</v>
      </c>
      <c r="F109" s="95" t="s">
        <v>42</v>
      </c>
      <c r="G109" s="81" t="s">
        <v>442</v>
      </c>
      <c r="H109" s="76" t="s">
        <v>1288</v>
      </c>
      <c r="I109" s="90" t="s">
        <v>1289</v>
      </c>
      <c r="J109" s="49"/>
      <c r="K109" s="95" t="s">
        <v>1276</v>
      </c>
      <c r="L109" s="38" t="s">
        <v>905</v>
      </c>
      <c r="M109" s="258" t="s">
        <v>505</v>
      </c>
      <c r="N109" s="259" t="s">
        <v>1247</v>
      </c>
      <c r="O109" s="155"/>
      <c r="P109" s="155"/>
      <c r="Q109" s="99" t="s">
        <v>1290</v>
      </c>
      <c r="R109" s="81" t="s">
        <v>1187</v>
      </c>
      <c r="S109" s="81" t="s">
        <v>1188</v>
      </c>
      <c r="T109" s="124" t="s">
        <v>518</v>
      </c>
      <c r="U109" s="156" t="s">
        <v>518</v>
      </c>
      <c r="V109" s="159"/>
      <c r="W109" s="143"/>
      <c r="X109" s="97" t="s">
        <v>1189</v>
      </c>
      <c r="Y109" s="97" t="s">
        <v>651</v>
      </c>
      <c r="Z109" s="169"/>
      <c r="AA109" s="179"/>
      <c r="AB109" s="178"/>
      <c r="AC109" s="151"/>
      <c r="AD109" s="151"/>
      <c r="AE109" s="151"/>
      <c r="AF109" s="151"/>
      <c r="AG109" s="151"/>
      <c r="AH109" s="260" t="s">
        <v>841</v>
      </c>
      <c r="AI109" s="159"/>
      <c r="AJ109" s="263">
        <v>44320</v>
      </c>
    </row>
    <row r="110" spans="1:36" ht="12" hidden="1" customHeight="1">
      <c r="A110" s="97" t="s">
        <v>238</v>
      </c>
      <c r="B110" s="76" t="s">
        <v>1291</v>
      </c>
      <c r="C110" s="81" t="s">
        <v>16</v>
      </c>
      <c r="D110" s="81" t="s">
        <v>45</v>
      </c>
      <c r="E110" s="81" t="s">
        <v>18</v>
      </c>
      <c r="F110" s="95" t="s">
        <v>939</v>
      </c>
      <c r="G110" s="81" t="s">
        <v>443</v>
      </c>
      <c r="H110" s="76" t="s">
        <v>1292</v>
      </c>
      <c r="I110" s="243" t="s">
        <v>1293</v>
      </c>
      <c r="J110" s="49"/>
      <c r="K110" s="95" t="s">
        <v>1276</v>
      </c>
      <c r="L110" s="38" t="s">
        <v>905</v>
      </c>
      <c r="M110" s="258" t="s">
        <v>1219</v>
      </c>
      <c r="N110" s="259" t="s">
        <v>1220</v>
      </c>
      <c r="O110" s="155"/>
      <c r="P110" s="155"/>
      <c r="Q110" s="78" t="s">
        <v>636</v>
      </c>
      <c r="R110" s="81" t="s">
        <v>1187</v>
      </c>
      <c r="S110" s="81" t="s">
        <v>1188</v>
      </c>
      <c r="T110" s="124" t="s">
        <v>518</v>
      </c>
      <c r="U110" s="97" t="s">
        <v>1152</v>
      </c>
      <c r="V110" s="97" t="s">
        <v>1259</v>
      </c>
      <c r="W110" s="146" t="s">
        <v>1260</v>
      </c>
      <c r="X110" s="97" t="s">
        <v>1189</v>
      </c>
      <c r="Y110" s="97" t="s">
        <v>651</v>
      </c>
      <c r="Z110" s="174"/>
      <c r="AA110" s="179"/>
      <c r="AB110" s="178"/>
      <c r="AC110" s="151"/>
      <c r="AD110" s="151"/>
      <c r="AE110" s="151"/>
      <c r="AF110" s="151"/>
      <c r="AG110" s="151"/>
      <c r="AH110" s="260" t="s">
        <v>841</v>
      </c>
      <c r="AI110" s="159"/>
      <c r="AJ110" s="263">
        <v>44320</v>
      </c>
    </row>
    <row r="111" spans="1:36" ht="12" hidden="1" customHeight="1">
      <c r="A111" s="97" t="s">
        <v>239</v>
      </c>
      <c r="B111" s="76" t="s">
        <v>1294</v>
      </c>
      <c r="C111" s="81" t="s">
        <v>16</v>
      </c>
      <c r="D111" s="81" t="s">
        <v>45</v>
      </c>
      <c r="E111" s="81" t="s">
        <v>18</v>
      </c>
      <c r="F111" s="95" t="s">
        <v>42</v>
      </c>
      <c r="G111" s="81" t="s">
        <v>444</v>
      </c>
      <c r="H111" s="273" t="s">
        <v>1295</v>
      </c>
      <c r="I111" s="243" t="s">
        <v>1296</v>
      </c>
      <c r="J111" s="49"/>
      <c r="K111" s="95" t="s">
        <v>1276</v>
      </c>
      <c r="L111" s="38" t="s">
        <v>905</v>
      </c>
      <c r="M111" s="258" t="s">
        <v>1219</v>
      </c>
      <c r="N111" s="259" t="s">
        <v>1220</v>
      </c>
      <c r="O111" s="155"/>
      <c r="P111" s="155"/>
      <c r="Q111" s="78" t="s">
        <v>635</v>
      </c>
      <c r="R111" s="81" t="s">
        <v>1187</v>
      </c>
      <c r="S111" s="81" t="s">
        <v>1188</v>
      </c>
      <c r="T111" s="124" t="s">
        <v>518</v>
      </c>
      <c r="U111" s="97" t="s">
        <v>1152</v>
      </c>
      <c r="V111" s="97" t="s">
        <v>1259</v>
      </c>
      <c r="W111" s="146" t="s">
        <v>1260</v>
      </c>
      <c r="X111" s="97" t="s">
        <v>1189</v>
      </c>
      <c r="Y111" s="97" t="s">
        <v>651</v>
      </c>
      <c r="Z111" s="174"/>
      <c r="AA111" s="179"/>
      <c r="AB111" s="178"/>
      <c r="AC111" s="151"/>
      <c r="AD111" s="151"/>
      <c r="AE111" s="151"/>
      <c r="AF111" s="151"/>
      <c r="AG111" s="151"/>
      <c r="AH111" s="260" t="s">
        <v>841</v>
      </c>
      <c r="AI111" s="159"/>
      <c r="AJ111" s="263">
        <v>44320</v>
      </c>
    </row>
    <row r="112" spans="1:36" ht="12" hidden="1" customHeight="1">
      <c r="A112" s="97" t="s">
        <v>240</v>
      </c>
      <c r="B112" s="76" t="s">
        <v>1297</v>
      </c>
      <c r="C112" s="81" t="s">
        <v>16</v>
      </c>
      <c r="D112" s="81" t="s">
        <v>45</v>
      </c>
      <c r="E112" s="212" t="s">
        <v>18</v>
      </c>
      <c r="F112" s="95" t="s">
        <v>939</v>
      </c>
      <c r="G112" s="81" t="s">
        <v>445</v>
      </c>
      <c r="H112" s="85" t="s">
        <v>1298</v>
      </c>
      <c r="I112" s="90" t="s">
        <v>1299</v>
      </c>
      <c r="J112" s="49"/>
      <c r="K112" s="95" t="s">
        <v>1276</v>
      </c>
      <c r="L112" s="38" t="s">
        <v>905</v>
      </c>
      <c r="M112" s="271" t="s">
        <v>505</v>
      </c>
      <c r="N112" s="259" t="s">
        <v>1286</v>
      </c>
      <c r="O112" s="155"/>
      <c r="P112" s="155"/>
      <c r="Q112" s="78" t="s">
        <v>1300</v>
      </c>
      <c r="R112" s="81" t="s">
        <v>1187</v>
      </c>
      <c r="S112" s="81" t="s">
        <v>1188</v>
      </c>
      <c r="T112" s="124" t="s">
        <v>518</v>
      </c>
      <c r="U112" s="97" t="s">
        <v>1152</v>
      </c>
      <c r="V112" s="97" t="s">
        <v>1259</v>
      </c>
      <c r="W112" s="146" t="s">
        <v>1260</v>
      </c>
      <c r="X112" s="97" t="s">
        <v>1189</v>
      </c>
      <c r="Y112" s="97" t="s">
        <v>651</v>
      </c>
      <c r="Z112" s="169"/>
      <c r="AA112" s="179"/>
      <c r="AB112" s="178"/>
      <c r="AC112" s="151"/>
      <c r="AD112" s="151"/>
      <c r="AE112" s="151"/>
      <c r="AF112" s="151"/>
      <c r="AG112" s="151"/>
      <c r="AH112" s="260" t="s">
        <v>841</v>
      </c>
      <c r="AI112" s="159"/>
      <c r="AJ112" s="263">
        <v>44320</v>
      </c>
    </row>
    <row r="113" spans="1:36" ht="12" hidden="1" customHeight="1">
      <c r="A113" s="97" t="s">
        <v>241</v>
      </c>
      <c r="B113" s="76" t="s">
        <v>1301</v>
      </c>
      <c r="C113" s="81" t="s">
        <v>16</v>
      </c>
      <c r="D113" s="81" t="s">
        <v>45</v>
      </c>
      <c r="E113" s="81" t="s">
        <v>18</v>
      </c>
      <c r="F113" s="95" t="s">
        <v>939</v>
      </c>
      <c r="G113" s="81" t="s">
        <v>446</v>
      </c>
      <c r="H113" s="76" t="s">
        <v>1301</v>
      </c>
      <c r="I113" s="243" t="s">
        <v>1302</v>
      </c>
      <c r="J113" s="49"/>
      <c r="K113" s="95" t="s">
        <v>1276</v>
      </c>
      <c r="L113" s="38" t="s">
        <v>905</v>
      </c>
      <c r="M113" s="258" t="s">
        <v>1219</v>
      </c>
      <c r="N113" s="259" t="s">
        <v>1220</v>
      </c>
      <c r="O113" s="155"/>
      <c r="P113" s="155"/>
      <c r="Q113" s="78" t="s">
        <v>635</v>
      </c>
      <c r="R113" s="81" t="s">
        <v>1187</v>
      </c>
      <c r="S113" s="81" t="s">
        <v>1188</v>
      </c>
      <c r="T113" s="124" t="s">
        <v>518</v>
      </c>
      <c r="U113" s="97" t="s">
        <v>1152</v>
      </c>
      <c r="V113" s="97" t="s">
        <v>1259</v>
      </c>
      <c r="W113" s="146" t="s">
        <v>1260</v>
      </c>
      <c r="X113" s="97" t="s">
        <v>1189</v>
      </c>
      <c r="Y113" s="97" t="s">
        <v>651</v>
      </c>
      <c r="Z113" s="174"/>
      <c r="AA113" s="179"/>
      <c r="AB113" s="178"/>
      <c r="AC113" s="151"/>
      <c r="AD113" s="151"/>
      <c r="AE113" s="151"/>
      <c r="AF113" s="151"/>
      <c r="AG113" s="151"/>
      <c r="AH113" s="260" t="s">
        <v>841</v>
      </c>
      <c r="AI113" s="159"/>
      <c r="AJ113" s="263">
        <v>44320</v>
      </c>
    </row>
    <row r="114" spans="1:36" ht="12" hidden="1" customHeight="1">
      <c r="A114" s="97" t="s">
        <v>242</v>
      </c>
      <c r="B114" s="76" t="s">
        <v>1303</v>
      </c>
      <c r="C114" s="81" t="s">
        <v>16</v>
      </c>
      <c r="D114" s="81" t="s">
        <v>45</v>
      </c>
      <c r="E114" s="81" t="s">
        <v>18</v>
      </c>
      <c r="F114" s="95" t="s">
        <v>42</v>
      </c>
      <c r="G114" s="81" t="s">
        <v>1304</v>
      </c>
      <c r="H114" s="76" t="s">
        <v>447</v>
      </c>
      <c r="I114" s="90" t="s">
        <v>1305</v>
      </c>
      <c r="J114" s="49"/>
      <c r="K114" s="95" t="s">
        <v>1276</v>
      </c>
      <c r="L114" s="38" t="s">
        <v>905</v>
      </c>
      <c r="M114" s="258" t="s">
        <v>505</v>
      </c>
      <c r="N114" s="259" t="s">
        <v>1201</v>
      </c>
      <c r="O114" s="155"/>
      <c r="P114" s="155"/>
      <c r="Q114" s="78" t="s">
        <v>488</v>
      </c>
      <c r="R114" s="81" t="s">
        <v>1187</v>
      </c>
      <c r="S114" s="81" t="s">
        <v>1188</v>
      </c>
      <c r="T114" s="124" t="s">
        <v>518</v>
      </c>
      <c r="U114" s="156" t="s">
        <v>518</v>
      </c>
      <c r="V114" s="159"/>
      <c r="W114" s="143"/>
      <c r="X114" s="97" t="s">
        <v>1189</v>
      </c>
      <c r="Y114" s="97" t="s">
        <v>651</v>
      </c>
      <c r="Z114" s="169"/>
      <c r="AA114" s="179"/>
      <c r="AB114" s="178"/>
      <c r="AC114" s="151"/>
      <c r="AD114" s="151"/>
      <c r="AE114" s="151"/>
      <c r="AF114" s="151"/>
      <c r="AG114" s="151"/>
      <c r="AH114" s="260" t="s">
        <v>841</v>
      </c>
      <c r="AI114" s="159"/>
      <c r="AJ114" s="263">
        <v>44347</v>
      </c>
    </row>
    <row r="115" spans="1:36" ht="12" hidden="1" customHeight="1">
      <c r="A115" s="170" t="s">
        <v>243</v>
      </c>
      <c r="B115" s="223" t="s">
        <v>306</v>
      </c>
      <c r="C115" s="83" t="s">
        <v>16</v>
      </c>
      <c r="D115" s="83" t="s">
        <v>45</v>
      </c>
      <c r="E115" s="83" t="s">
        <v>19</v>
      </c>
      <c r="F115" s="170" t="s">
        <v>42</v>
      </c>
      <c r="G115" s="83" t="s">
        <v>448</v>
      </c>
      <c r="H115" s="223" t="s">
        <v>449</v>
      </c>
      <c r="I115" s="94" t="s">
        <v>1306</v>
      </c>
      <c r="J115" s="49"/>
      <c r="K115" s="170" t="s">
        <v>1276</v>
      </c>
      <c r="L115" s="48" t="s">
        <v>905</v>
      </c>
      <c r="M115" s="264" t="s">
        <v>44</v>
      </c>
      <c r="N115" s="267" t="s">
        <v>1307</v>
      </c>
      <c r="O115" s="155"/>
      <c r="P115" s="155"/>
      <c r="Q115" s="225" t="s">
        <v>1308</v>
      </c>
      <c r="R115" s="83" t="s">
        <v>1187</v>
      </c>
      <c r="S115" s="83" t="s">
        <v>1188</v>
      </c>
      <c r="T115" s="124" t="s">
        <v>518</v>
      </c>
      <c r="U115" s="156" t="s">
        <v>518</v>
      </c>
      <c r="V115" s="159"/>
      <c r="W115" s="143"/>
      <c r="X115" s="97" t="s">
        <v>1189</v>
      </c>
      <c r="Y115" s="97" t="s">
        <v>651</v>
      </c>
      <c r="Z115" s="169"/>
      <c r="AA115" s="179"/>
      <c r="AB115" s="178"/>
      <c r="AC115" s="151"/>
      <c r="AD115" s="151"/>
      <c r="AE115" s="151"/>
      <c r="AF115" s="151"/>
      <c r="AG115" s="151"/>
      <c r="AH115" s="260" t="s">
        <v>841</v>
      </c>
      <c r="AI115" s="159" t="s">
        <v>965</v>
      </c>
      <c r="AJ115" s="261"/>
    </row>
    <row r="116" spans="1:36" ht="12" hidden="1" customHeight="1">
      <c r="A116" s="97" t="s">
        <v>244</v>
      </c>
      <c r="B116" s="76" t="s">
        <v>1309</v>
      </c>
      <c r="C116" s="81" t="s">
        <v>16</v>
      </c>
      <c r="D116" s="81" t="s">
        <v>45</v>
      </c>
      <c r="E116" s="81" t="s">
        <v>18</v>
      </c>
      <c r="F116" s="95" t="s">
        <v>939</v>
      </c>
      <c r="G116" s="81" t="s">
        <v>450</v>
      </c>
      <c r="H116" s="76" t="s">
        <v>451</v>
      </c>
      <c r="I116" s="90" t="s">
        <v>1310</v>
      </c>
      <c r="J116" s="49"/>
      <c r="K116" s="95" t="s">
        <v>1276</v>
      </c>
      <c r="L116" s="38" t="s">
        <v>905</v>
      </c>
      <c r="M116" s="258" t="s">
        <v>1219</v>
      </c>
      <c r="N116" s="259" t="s">
        <v>1286</v>
      </c>
      <c r="O116" s="155"/>
      <c r="P116" s="155"/>
      <c r="Q116" s="99" t="s">
        <v>1311</v>
      </c>
      <c r="R116" s="81" t="s">
        <v>1187</v>
      </c>
      <c r="S116" s="81" t="s">
        <v>1188</v>
      </c>
      <c r="T116" s="124" t="s">
        <v>518</v>
      </c>
      <c r="U116" s="97" t="s">
        <v>1152</v>
      </c>
      <c r="V116" s="97" t="s">
        <v>1259</v>
      </c>
      <c r="W116" s="146" t="s">
        <v>1260</v>
      </c>
      <c r="X116" s="97" t="s">
        <v>1189</v>
      </c>
      <c r="Y116" s="97" t="s">
        <v>651</v>
      </c>
      <c r="Z116" s="174"/>
      <c r="AA116" s="179"/>
      <c r="AB116" s="178"/>
      <c r="AC116" s="151"/>
      <c r="AD116" s="151"/>
      <c r="AE116" s="151"/>
      <c r="AF116" s="151"/>
      <c r="AG116" s="151"/>
      <c r="AH116" s="260" t="s">
        <v>841</v>
      </c>
      <c r="AI116" s="159"/>
      <c r="AJ116" s="263">
        <v>44320</v>
      </c>
    </row>
    <row r="117" spans="1:36" ht="12" hidden="1" customHeight="1">
      <c r="A117" s="97" t="s">
        <v>245</v>
      </c>
      <c r="B117" s="76" t="s">
        <v>1312</v>
      </c>
      <c r="C117" s="81" t="s">
        <v>16</v>
      </c>
      <c r="D117" s="81" t="s">
        <v>45</v>
      </c>
      <c r="E117" s="81" t="s">
        <v>18</v>
      </c>
      <c r="F117" s="95" t="s">
        <v>939</v>
      </c>
      <c r="G117" s="81" t="s">
        <v>1313</v>
      </c>
      <c r="H117" s="76" t="s">
        <v>1314</v>
      </c>
      <c r="I117" s="90" t="s">
        <v>1315</v>
      </c>
      <c r="J117" s="49"/>
      <c r="K117" s="95" t="s">
        <v>1276</v>
      </c>
      <c r="L117" s="38" t="s">
        <v>905</v>
      </c>
      <c r="M117" s="258" t="s">
        <v>1219</v>
      </c>
      <c r="N117" s="259" t="s">
        <v>1286</v>
      </c>
      <c r="O117" s="155"/>
      <c r="P117" s="155"/>
      <c r="Q117" s="78" t="s">
        <v>1316</v>
      </c>
      <c r="R117" s="81" t="s">
        <v>1187</v>
      </c>
      <c r="S117" s="81" t="s">
        <v>1188</v>
      </c>
      <c r="T117" s="124" t="s">
        <v>518</v>
      </c>
      <c r="U117" s="97" t="s">
        <v>1152</v>
      </c>
      <c r="V117" s="97" t="s">
        <v>1259</v>
      </c>
      <c r="W117" s="146" t="s">
        <v>1260</v>
      </c>
      <c r="X117" s="97" t="s">
        <v>1189</v>
      </c>
      <c r="Y117" s="97" t="s">
        <v>651</v>
      </c>
      <c r="Z117" s="174"/>
      <c r="AA117" s="179"/>
      <c r="AB117" s="178"/>
      <c r="AC117" s="151"/>
      <c r="AD117" s="151"/>
      <c r="AE117" s="151"/>
      <c r="AF117" s="151"/>
      <c r="AG117" s="151"/>
      <c r="AH117" s="260" t="s">
        <v>841</v>
      </c>
      <c r="AI117" s="159"/>
      <c r="AJ117" s="263">
        <v>44320</v>
      </c>
    </row>
    <row r="118" spans="1:36" ht="12" hidden="1" customHeight="1">
      <c r="A118" s="97" t="s">
        <v>246</v>
      </c>
      <c r="B118" s="76" t="s">
        <v>1317</v>
      </c>
      <c r="C118" s="81" t="s">
        <v>16</v>
      </c>
      <c r="D118" s="81" t="s">
        <v>45</v>
      </c>
      <c r="E118" s="81" t="s">
        <v>18</v>
      </c>
      <c r="F118" s="95" t="s">
        <v>42</v>
      </c>
      <c r="G118" s="81" t="s">
        <v>452</v>
      </c>
      <c r="H118" s="76" t="s">
        <v>1318</v>
      </c>
      <c r="I118" s="90" t="s">
        <v>1319</v>
      </c>
      <c r="J118" s="49"/>
      <c r="K118" s="95" t="s">
        <v>1276</v>
      </c>
      <c r="L118" s="38" t="s">
        <v>905</v>
      </c>
      <c r="M118" s="258" t="s">
        <v>1219</v>
      </c>
      <c r="N118" s="259" t="s">
        <v>1286</v>
      </c>
      <c r="O118" s="155"/>
      <c r="P118" s="155"/>
      <c r="Q118" s="78" t="s">
        <v>488</v>
      </c>
      <c r="R118" s="81" t="s">
        <v>1187</v>
      </c>
      <c r="S118" s="81" t="s">
        <v>1188</v>
      </c>
      <c r="T118" s="124" t="s">
        <v>518</v>
      </c>
      <c r="U118" s="97" t="s">
        <v>1152</v>
      </c>
      <c r="V118" s="97" t="s">
        <v>1259</v>
      </c>
      <c r="W118" s="146" t="s">
        <v>1260</v>
      </c>
      <c r="X118" s="97" t="s">
        <v>1189</v>
      </c>
      <c r="Y118" s="97" t="s">
        <v>651</v>
      </c>
      <c r="Z118" s="174"/>
      <c r="AA118" s="179"/>
      <c r="AB118" s="178"/>
      <c r="AC118" s="151"/>
      <c r="AD118" s="151"/>
      <c r="AE118" s="151"/>
      <c r="AF118" s="151"/>
      <c r="AG118" s="151"/>
      <c r="AH118" s="260" t="s">
        <v>841</v>
      </c>
      <c r="AI118" s="159"/>
      <c r="AJ118" s="263">
        <v>44320</v>
      </c>
    </row>
    <row r="119" spans="1:36" ht="12" hidden="1" customHeight="1">
      <c r="A119" s="97" t="s">
        <v>247</v>
      </c>
      <c r="B119" s="80" t="s">
        <v>1320</v>
      </c>
      <c r="C119" s="81" t="s">
        <v>16</v>
      </c>
      <c r="D119" s="81" t="s">
        <v>45</v>
      </c>
      <c r="E119" s="81" t="s">
        <v>18</v>
      </c>
      <c r="F119" s="95" t="s">
        <v>939</v>
      </c>
      <c r="G119" s="81" t="s">
        <v>453</v>
      </c>
      <c r="H119" s="76" t="s">
        <v>454</v>
      </c>
      <c r="I119" s="90" t="s">
        <v>1321</v>
      </c>
      <c r="J119" s="49"/>
      <c r="K119" s="95" t="s">
        <v>1276</v>
      </c>
      <c r="L119" s="38" t="s">
        <v>905</v>
      </c>
      <c r="M119" s="258" t="s">
        <v>1219</v>
      </c>
      <c r="N119" s="259" t="s">
        <v>1286</v>
      </c>
      <c r="O119" s="155"/>
      <c r="P119" s="155"/>
      <c r="Q119" s="78" t="s">
        <v>488</v>
      </c>
      <c r="R119" s="81" t="s">
        <v>1187</v>
      </c>
      <c r="S119" s="81" t="s">
        <v>1188</v>
      </c>
      <c r="T119" s="124" t="s">
        <v>518</v>
      </c>
      <c r="U119" s="84" t="s">
        <v>1322</v>
      </c>
      <c r="V119" s="148" t="s">
        <v>1323</v>
      </c>
      <c r="W119" s="146" t="s">
        <v>1324</v>
      </c>
      <c r="X119" s="97" t="s">
        <v>1189</v>
      </c>
      <c r="Y119" s="97" t="s">
        <v>651</v>
      </c>
      <c r="Z119" s="174"/>
      <c r="AA119" s="179"/>
      <c r="AB119" s="178"/>
      <c r="AC119" s="151"/>
      <c r="AD119" s="151"/>
      <c r="AE119" s="151"/>
      <c r="AF119" s="151"/>
      <c r="AG119" s="151"/>
      <c r="AH119" s="260" t="s">
        <v>841</v>
      </c>
      <c r="AI119" s="159"/>
      <c r="AJ119" s="263">
        <v>44320</v>
      </c>
    </row>
    <row r="120" spans="1:36" ht="12" hidden="1" customHeight="1">
      <c r="A120" s="170" t="s">
        <v>236</v>
      </c>
      <c r="B120" s="223" t="s">
        <v>1325</v>
      </c>
      <c r="C120" s="83" t="s">
        <v>16</v>
      </c>
      <c r="D120" s="83" t="s">
        <v>45</v>
      </c>
      <c r="E120" s="83" t="s">
        <v>19</v>
      </c>
      <c r="F120" s="170" t="s">
        <v>939</v>
      </c>
      <c r="G120" s="83" t="s">
        <v>1326</v>
      </c>
      <c r="H120" s="223" t="s">
        <v>1325</v>
      </c>
      <c r="I120" s="92" t="s">
        <v>1327</v>
      </c>
      <c r="J120" s="49"/>
      <c r="K120" s="170" t="s">
        <v>1328</v>
      </c>
      <c r="L120" s="48" t="s">
        <v>905</v>
      </c>
      <c r="M120" s="264" t="s">
        <v>44</v>
      </c>
      <c r="N120" s="267"/>
      <c r="O120" s="155"/>
      <c r="P120" s="155"/>
      <c r="Q120" s="225" t="s">
        <v>1329</v>
      </c>
      <c r="R120" s="83" t="s">
        <v>1187</v>
      </c>
      <c r="S120" s="83" t="s">
        <v>1188</v>
      </c>
      <c r="T120" s="124" t="s">
        <v>518</v>
      </c>
      <c r="U120" s="156" t="s">
        <v>518</v>
      </c>
      <c r="V120" s="159"/>
      <c r="W120" s="143"/>
      <c r="X120" s="97" t="s">
        <v>1189</v>
      </c>
      <c r="Y120" s="97" t="s">
        <v>651</v>
      </c>
      <c r="Z120" s="169"/>
      <c r="AA120" s="179"/>
      <c r="AB120" s="178"/>
      <c r="AC120" s="151"/>
      <c r="AD120" s="151"/>
      <c r="AE120" s="151"/>
      <c r="AF120" s="151"/>
      <c r="AG120" s="151"/>
      <c r="AH120" s="260" t="s">
        <v>841</v>
      </c>
      <c r="AI120" s="159"/>
      <c r="AJ120" s="261"/>
    </row>
    <row r="121" spans="1:36" ht="12" hidden="1" customHeight="1">
      <c r="A121" s="170" t="s">
        <v>235</v>
      </c>
      <c r="B121" s="223" t="s">
        <v>1330</v>
      </c>
      <c r="C121" s="83" t="s">
        <v>16</v>
      </c>
      <c r="D121" s="83" t="s">
        <v>45</v>
      </c>
      <c r="E121" s="83" t="s">
        <v>19</v>
      </c>
      <c r="F121" s="170" t="s">
        <v>42</v>
      </c>
      <c r="G121" s="83" t="s">
        <v>1331</v>
      </c>
      <c r="H121" s="223" t="s">
        <v>1332</v>
      </c>
      <c r="I121" s="227" t="s">
        <v>1333</v>
      </c>
      <c r="J121" s="49"/>
      <c r="K121" s="170" t="s">
        <v>1276</v>
      </c>
      <c r="L121" s="48" t="s">
        <v>905</v>
      </c>
      <c r="M121" s="264" t="s">
        <v>44</v>
      </c>
      <c r="N121" s="267"/>
      <c r="O121" s="155"/>
      <c r="P121" s="155"/>
      <c r="Q121" s="225" t="s">
        <v>1334</v>
      </c>
      <c r="R121" s="83" t="s">
        <v>1187</v>
      </c>
      <c r="S121" s="83" t="s">
        <v>1188</v>
      </c>
      <c r="T121" s="124" t="s">
        <v>518</v>
      </c>
      <c r="U121" s="156" t="s">
        <v>518</v>
      </c>
      <c r="V121" s="159"/>
      <c r="W121" s="143"/>
      <c r="X121" s="97" t="s">
        <v>1189</v>
      </c>
      <c r="Y121" s="97" t="s">
        <v>651</v>
      </c>
      <c r="Z121" s="169"/>
      <c r="AA121" s="179"/>
      <c r="AB121" s="178"/>
      <c r="AC121" s="151"/>
      <c r="AD121" s="151"/>
      <c r="AE121" s="151"/>
      <c r="AF121" s="151"/>
      <c r="AG121" s="151"/>
      <c r="AH121" s="260" t="s">
        <v>841</v>
      </c>
      <c r="AI121" s="159"/>
      <c r="AJ121" s="261"/>
    </row>
    <row r="122" spans="1:36" ht="12" hidden="1" customHeight="1">
      <c r="A122" s="170" t="s">
        <v>211</v>
      </c>
      <c r="B122" s="223" t="s">
        <v>1335</v>
      </c>
      <c r="C122" s="83" t="s">
        <v>16</v>
      </c>
      <c r="D122" s="83" t="s">
        <v>45</v>
      </c>
      <c r="E122" s="83" t="s">
        <v>1336</v>
      </c>
      <c r="F122" s="170" t="s">
        <v>42</v>
      </c>
      <c r="G122" s="83" t="s">
        <v>1337</v>
      </c>
      <c r="H122" s="223" t="s">
        <v>1335</v>
      </c>
      <c r="I122" s="92" t="s">
        <v>1338</v>
      </c>
      <c r="J122" s="49"/>
      <c r="K122" s="170" t="s">
        <v>507</v>
      </c>
      <c r="L122" s="48" t="s">
        <v>905</v>
      </c>
      <c r="M122" s="266" t="s">
        <v>1339</v>
      </c>
      <c r="N122" s="265"/>
      <c r="O122" s="155"/>
      <c r="P122" s="155"/>
      <c r="Q122" s="143" t="s">
        <v>1340</v>
      </c>
      <c r="R122" s="170" t="s">
        <v>1341</v>
      </c>
      <c r="S122" s="170" t="s">
        <v>1342</v>
      </c>
      <c r="T122" s="124" t="s">
        <v>1343</v>
      </c>
      <c r="U122" s="97" t="s">
        <v>1344</v>
      </c>
      <c r="V122" s="97" t="s">
        <v>723</v>
      </c>
      <c r="W122" s="143"/>
      <c r="X122" s="97" t="s">
        <v>1345</v>
      </c>
      <c r="Y122" s="97" t="s">
        <v>650</v>
      </c>
      <c r="Z122" s="174" t="s">
        <v>1343</v>
      </c>
      <c r="AA122" s="180"/>
      <c r="AB122" s="178"/>
      <c r="AC122" s="151"/>
      <c r="AD122" s="151"/>
      <c r="AE122" s="151"/>
      <c r="AF122" s="151"/>
      <c r="AG122" s="151"/>
      <c r="AH122" s="260" t="s">
        <v>842</v>
      </c>
      <c r="AI122" s="159"/>
      <c r="AJ122" s="261"/>
    </row>
    <row r="123" spans="1:36" ht="12" hidden="1" customHeight="1">
      <c r="A123" s="170" t="s">
        <v>1346</v>
      </c>
      <c r="B123" s="223" t="s">
        <v>1347</v>
      </c>
      <c r="C123" s="83" t="s">
        <v>16</v>
      </c>
      <c r="D123" s="83" t="s">
        <v>45</v>
      </c>
      <c r="E123" s="83" t="s">
        <v>1336</v>
      </c>
      <c r="F123" s="170" t="s">
        <v>42</v>
      </c>
      <c r="G123" s="83" t="s">
        <v>1348</v>
      </c>
      <c r="H123" s="223" t="s">
        <v>1347</v>
      </c>
      <c r="I123" s="92" t="s">
        <v>1349</v>
      </c>
      <c r="J123" s="49"/>
      <c r="K123" s="170" t="s">
        <v>507</v>
      </c>
      <c r="L123" s="48" t="s">
        <v>905</v>
      </c>
      <c r="M123" s="266" t="s">
        <v>1339</v>
      </c>
      <c r="N123" s="265"/>
      <c r="O123" s="155"/>
      <c r="P123" s="155"/>
      <c r="Q123" s="143" t="s">
        <v>1340</v>
      </c>
      <c r="R123" s="170" t="s">
        <v>1341</v>
      </c>
      <c r="S123" s="170" t="s">
        <v>1342</v>
      </c>
      <c r="T123" s="124" t="s">
        <v>1343</v>
      </c>
      <c r="U123" s="97" t="s">
        <v>1344</v>
      </c>
      <c r="V123" s="97" t="s">
        <v>723</v>
      </c>
      <c r="W123" s="143"/>
      <c r="X123" s="97" t="s">
        <v>1345</v>
      </c>
      <c r="Y123" s="97" t="s">
        <v>639</v>
      </c>
      <c r="Z123" s="174" t="s">
        <v>1343</v>
      </c>
      <c r="AA123" s="180"/>
      <c r="AB123" s="178"/>
      <c r="AC123" s="151"/>
      <c r="AD123" s="151"/>
      <c r="AE123" s="151"/>
      <c r="AF123" s="151"/>
      <c r="AG123" s="151"/>
      <c r="AH123" s="260" t="s">
        <v>842</v>
      </c>
      <c r="AI123" s="159"/>
      <c r="AJ123" s="261"/>
    </row>
    <row r="124" spans="1:36" ht="12" hidden="1" customHeight="1">
      <c r="A124" s="170" t="s">
        <v>212</v>
      </c>
      <c r="B124" s="223" t="s">
        <v>1350</v>
      </c>
      <c r="C124" s="83" t="s">
        <v>16</v>
      </c>
      <c r="D124" s="83" t="s">
        <v>45</v>
      </c>
      <c r="E124" s="83" t="s">
        <v>1336</v>
      </c>
      <c r="F124" s="170" t="s">
        <v>42</v>
      </c>
      <c r="G124" s="83" t="s">
        <v>1351</v>
      </c>
      <c r="H124" s="223" t="s">
        <v>1350</v>
      </c>
      <c r="I124" s="92" t="s">
        <v>1352</v>
      </c>
      <c r="J124" s="49"/>
      <c r="K124" s="170" t="s">
        <v>507</v>
      </c>
      <c r="L124" s="48" t="s">
        <v>905</v>
      </c>
      <c r="M124" s="266" t="s">
        <v>1339</v>
      </c>
      <c r="N124" s="265"/>
      <c r="O124" s="155"/>
      <c r="P124" s="155"/>
      <c r="Q124" s="143" t="s">
        <v>1340</v>
      </c>
      <c r="R124" s="170" t="s">
        <v>1341</v>
      </c>
      <c r="S124" s="170" t="s">
        <v>1342</v>
      </c>
      <c r="T124" s="124" t="s">
        <v>1343</v>
      </c>
      <c r="U124" s="97" t="s">
        <v>1344</v>
      </c>
      <c r="V124" s="97" t="s">
        <v>723</v>
      </c>
      <c r="W124" s="143"/>
      <c r="X124" s="97" t="s">
        <v>1345</v>
      </c>
      <c r="Y124" s="97" t="s">
        <v>650</v>
      </c>
      <c r="Z124" s="174" t="s">
        <v>1343</v>
      </c>
      <c r="AA124" s="180"/>
      <c r="AB124" s="178"/>
      <c r="AC124" s="151"/>
      <c r="AD124" s="151"/>
      <c r="AE124" s="151"/>
      <c r="AF124" s="151"/>
      <c r="AG124" s="151"/>
      <c r="AH124" s="260" t="s">
        <v>842</v>
      </c>
      <c r="AI124" s="159"/>
      <c r="AJ124" s="261"/>
    </row>
    <row r="125" spans="1:36" ht="12" hidden="1" customHeight="1">
      <c r="A125" s="170" t="s">
        <v>213</v>
      </c>
      <c r="B125" s="223" t="s">
        <v>1353</v>
      </c>
      <c r="C125" s="83" t="s">
        <v>16</v>
      </c>
      <c r="D125" s="83" t="s">
        <v>45</v>
      </c>
      <c r="E125" s="83" t="s">
        <v>1336</v>
      </c>
      <c r="F125" s="170" t="s">
        <v>42</v>
      </c>
      <c r="G125" s="83" t="s">
        <v>1354</v>
      </c>
      <c r="H125" s="223" t="s">
        <v>1353</v>
      </c>
      <c r="I125" s="92" t="s">
        <v>1355</v>
      </c>
      <c r="J125" s="49"/>
      <c r="K125" s="170" t="s">
        <v>507</v>
      </c>
      <c r="L125" s="48" t="s">
        <v>905</v>
      </c>
      <c r="M125" s="266" t="s">
        <v>1339</v>
      </c>
      <c r="N125" s="274"/>
      <c r="O125" s="155"/>
      <c r="P125" s="155"/>
      <c r="Q125" s="143" t="s">
        <v>1340</v>
      </c>
      <c r="R125" s="170" t="s">
        <v>1341</v>
      </c>
      <c r="S125" s="170" t="s">
        <v>1342</v>
      </c>
      <c r="T125" s="124" t="s">
        <v>1343</v>
      </c>
      <c r="U125" s="97" t="s">
        <v>1344</v>
      </c>
      <c r="V125" s="97" t="s">
        <v>723</v>
      </c>
      <c r="W125" s="143"/>
      <c r="X125" s="97" t="s">
        <v>1345</v>
      </c>
      <c r="Y125" s="97" t="s">
        <v>650</v>
      </c>
      <c r="Z125" s="174" t="s">
        <v>1343</v>
      </c>
      <c r="AA125" s="180"/>
      <c r="AB125" s="178"/>
      <c r="AC125" s="151"/>
      <c r="AD125" s="151"/>
      <c r="AE125" s="151"/>
      <c r="AF125" s="151"/>
      <c r="AG125" s="151"/>
      <c r="AH125" s="260" t="s">
        <v>842</v>
      </c>
      <c r="AI125" s="159"/>
      <c r="AJ125" s="261"/>
    </row>
    <row r="126" spans="1:36" ht="12" hidden="1" customHeight="1">
      <c r="A126" s="170" t="s">
        <v>214</v>
      </c>
      <c r="B126" s="223" t="s">
        <v>1356</v>
      </c>
      <c r="C126" s="83" t="s">
        <v>16</v>
      </c>
      <c r="D126" s="83" t="s">
        <v>45</v>
      </c>
      <c r="E126" s="83" t="s">
        <v>1336</v>
      </c>
      <c r="F126" s="170" t="s">
        <v>42</v>
      </c>
      <c r="G126" s="83" t="s">
        <v>1357</v>
      </c>
      <c r="H126" s="223" t="s">
        <v>1356</v>
      </c>
      <c r="I126" s="92" t="s">
        <v>1358</v>
      </c>
      <c r="J126" s="49"/>
      <c r="K126" s="170" t="s">
        <v>507</v>
      </c>
      <c r="L126" s="48" t="s">
        <v>905</v>
      </c>
      <c r="M126" s="266" t="s">
        <v>1339</v>
      </c>
      <c r="N126" s="274"/>
      <c r="O126" s="155"/>
      <c r="P126" s="155"/>
      <c r="Q126" s="143" t="s">
        <v>1340</v>
      </c>
      <c r="R126" s="170" t="s">
        <v>1341</v>
      </c>
      <c r="S126" s="170" t="s">
        <v>1342</v>
      </c>
      <c r="T126" s="124" t="s">
        <v>1343</v>
      </c>
      <c r="U126" s="97" t="s">
        <v>1344</v>
      </c>
      <c r="V126" s="97" t="s">
        <v>723</v>
      </c>
      <c r="W126" s="143"/>
      <c r="X126" s="97" t="s">
        <v>1345</v>
      </c>
      <c r="Y126" s="97" t="s">
        <v>650</v>
      </c>
      <c r="Z126" s="174" t="s">
        <v>1343</v>
      </c>
      <c r="AA126" s="180"/>
      <c r="AB126" s="178"/>
      <c r="AC126" s="151"/>
      <c r="AD126" s="151"/>
      <c r="AE126" s="151"/>
      <c r="AF126" s="151"/>
      <c r="AG126" s="151"/>
      <c r="AH126" s="260" t="s">
        <v>842</v>
      </c>
      <c r="AI126" s="159"/>
      <c r="AJ126" s="261"/>
    </row>
    <row r="127" spans="1:36" ht="12" hidden="1" customHeight="1">
      <c r="A127" s="97" t="s">
        <v>215</v>
      </c>
      <c r="B127" s="76" t="s">
        <v>1359</v>
      </c>
      <c r="C127" s="81" t="s">
        <v>16</v>
      </c>
      <c r="D127" s="81" t="s">
        <v>45</v>
      </c>
      <c r="E127" s="81" t="s">
        <v>18</v>
      </c>
      <c r="F127" s="95" t="s">
        <v>42</v>
      </c>
      <c r="G127" s="81" t="s">
        <v>1360</v>
      </c>
      <c r="H127" s="76" t="s">
        <v>1361</v>
      </c>
      <c r="I127" s="87" t="s">
        <v>1362</v>
      </c>
      <c r="J127" s="49"/>
      <c r="K127" s="95" t="s">
        <v>507</v>
      </c>
      <c r="L127" s="38" t="s">
        <v>905</v>
      </c>
      <c r="M127" s="258" t="s">
        <v>43</v>
      </c>
      <c r="N127" s="259"/>
      <c r="O127" s="155"/>
      <c r="P127" s="155"/>
      <c r="Q127" s="99" t="s">
        <v>1363</v>
      </c>
      <c r="R127" s="97" t="s">
        <v>1364</v>
      </c>
      <c r="S127" s="97" t="s">
        <v>1365</v>
      </c>
      <c r="T127" s="124" t="s">
        <v>518</v>
      </c>
      <c r="U127" s="97"/>
      <c r="V127" s="97"/>
      <c r="W127" s="143"/>
      <c r="X127" s="97" t="s">
        <v>1155</v>
      </c>
      <c r="Y127" s="97" t="s">
        <v>639</v>
      </c>
      <c r="Z127" s="174"/>
      <c r="AA127" s="179"/>
      <c r="AB127" s="178"/>
      <c r="AC127" s="151"/>
      <c r="AD127" s="151"/>
      <c r="AE127" s="151"/>
      <c r="AF127" s="151"/>
      <c r="AG127" s="151"/>
      <c r="AH127" s="260" t="s">
        <v>840</v>
      </c>
      <c r="AI127" s="159"/>
      <c r="AJ127" s="261"/>
    </row>
    <row r="128" spans="1:36" ht="12" hidden="1" customHeight="1">
      <c r="A128" s="170" t="s">
        <v>261</v>
      </c>
      <c r="B128" s="223" t="s">
        <v>1366</v>
      </c>
      <c r="C128" s="83" t="s">
        <v>16</v>
      </c>
      <c r="D128" s="83" t="s">
        <v>45</v>
      </c>
      <c r="E128" s="83" t="s">
        <v>1336</v>
      </c>
      <c r="F128" s="170" t="s">
        <v>42</v>
      </c>
      <c r="G128" s="83" t="s">
        <v>1367</v>
      </c>
      <c r="H128" s="223" t="s">
        <v>1366</v>
      </c>
      <c r="I128" s="92" t="s">
        <v>1368</v>
      </c>
      <c r="J128" s="49"/>
      <c r="K128" s="170" t="s">
        <v>507</v>
      </c>
      <c r="L128" s="48" t="s">
        <v>905</v>
      </c>
      <c r="M128" s="266" t="s">
        <v>1339</v>
      </c>
      <c r="N128" s="193"/>
      <c r="O128" s="155"/>
      <c r="P128" s="155"/>
      <c r="Q128" s="143" t="s">
        <v>1340</v>
      </c>
      <c r="R128" s="170" t="s">
        <v>1341</v>
      </c>
      <c r="S128" s="170" t="s">
        <v>1342</v>
      </c>
      <c r="T128" s="124" t="s">
        <v>1343</v>
      </c>
      <c r="U128" s="127" t="s">
        <v>628</v>
      </c>
      <c r="V128" s="127" t="s">
        <v>624</v>
      </c>
      <c r="W128" s="143" t="s">
        <v>1369</v>
      </c>
      <c r="X128" s="97" t="s">
        <v>1345</v>
      </c>
      <c r="Y128" s="97" t="s">
        <v>634</v>
      </c>
      <c r="Z128" s="174" t="s">
        <v>1343</v>
      </c>
      <c r="AA128" s="180"/>
      <c r="AB128" s="178"/>
      <c r="AC128" s="151"/>
      <c r="AD128" s="151"/>
      <c r="AE128" s="151"/>
      <c r="AF128" s="151"/>
      <c r="AG128" s="151"/>
      <c r="AH128" s="260" t="s">
        <v>842</v>
      </c>
      <c r="AI128" s="159"/>
      <c r="AJ128" s="261"/>
    </row>
    <row r="129" spans="1:36" ht="12" hidden="1" customHeight="1">
      <c r="A129" s="97" t="s">
        <v>190</v>
      </c>
      <c r="B129" s="76" t="s">
        <v>1370</v>
      </c>
      <c r="C129" s="81" t="s">
        <v>16</v>
      </c>
      <c r="D129" s="81" t="s">
        <v>45</v>
      </c>
      <c r="E129" s="81" t="s">
        <v>18</v>
      </c>
      <c r="F129" s="95" t="s">
        <v>42</v>
      </c>
      <c r="G129" s="81" t="s">
        <v>1371</v>
      </c>
      <c r="H129" s="76" t="s">
        <v>1370</v>
      </c>
      <c r="I129" s="87" t="s">
        <v>1372</v>
      </c>
      <c r="J129" s="49"/>
      <c r="K129" s="95" t="s">
        <v>1373</v>
      </c>
      <c r="L129" s="38" t="s">
        <v>905</v>
      </c>
      <c r="M129" s="258" t="s">
        <v>912</v>
      </c>
      <c r="N129" s="259"/>
      <c r="O129" s="155"/>
      <c r="P129" s="155"/>
      <c r="Q129" s="78" t="s">
        <v>1374</v>
      </c>
      <c r="R129" s="97" t="s">
        <v>1375</v>
      </c>
      <c r="S129" s="97" t="s">
        <v>1376</v>
      </c>
      <c r="T129" s="124" t="s">
        <v>518</v>
      </c>
      <c r="U129" s="95" t="s">
        <v>1221</v>
      </c>
      <c r="V129" s="95" t="s">
        <v>1377</v>
      </c>
      <c r="W129" s="143"/>
      <c r="X129" s="97" t="s">
        <v>1378</v>
      </c>
      <c r="Y129" s="97" t="s">
        <v>652</v>
      </c>
      <c r="Z129" s="174"/>
      <c r="AA129" s="180"/>
      <c r="AB129" s="178"/>
      <c r="AC129" s="151"/>
      <c r="AD129" s="151"/>
      <c r="AE129" s="151"/>
      <c r="AF129" s="151"/>
      <c r="AG129" s="151"/>
      <c r="AH129" s="260" t="s">
        <v>841</v>
      </c>
      <c r="AI129" s="159"/>
      <c r="AJ129" s="261"/>
    </row>
    <row r="130" spans="1:36" ht="12" hidden="1" customHeight="1">
      <c r="A130" s="97" t="s">
        <v>196</v>
      </c>
      <c r="B130" s="76" t="s">
        <v>290</v>
      </c>
      <c r="C130" s="81" t="s">
        <v>16</v>
      </c>
      <c r="D130" s="81" t="s">
        <v>45</v>
      </c>
      <c r="E130" s="81" t="s">
        <v>18</v>
      </c>
      <c r="F130" s="95" t="s">
        <v>42</v>
      </c>
      <c r="G130" s="81" t="s">
        <v>1379</v>
      </c>
      <c r="H130" s="76" t="s">
        <v>1380</v>
      </c>
      <c r="I130" s="87" t="s">
        <v>1381</v>
      </c>
      <c r="J130" s="49"/>
      <c r="K130" s="95" t="s">
        <v>1382</v>
      </c>
      <c r="L130" s="38" t="s">
        <v>905</v>
      </c>
      <c r="M130" s="258" t="s">
        <v>505</v>
      </c>
      <c r="N130" s="259" t="s">
        <v>1247</v>
      </c>
      <c r="O130" s="155"/>
      <c r="P130" s="155"/>
      <c r="Q130" s="78" t="s">
        <v>1374</v>
      </c>
      <c r="R130" s="97" t="s">
        <v>1375</v>
      </c>
      <c r="S130" s="97" t="s">
        <v>1376</v>
      </c>
      <c r="T130" s="124" t="s">
        <v>518</v>
      </c>
      <c r="U130" s="156" t="s">
        <v>518</v>
      </c>
      <c r="V130" s="159"/>
      <c r="W130" s="143"/>
      <c r="X130" s="97" t="s">
        <v>1378</v>
      </c>
      <c r="Y130" s="97" t="s">
        <v>652</v>
      </c>
      <c r="Z130" s="169"/>
      <c r="AA130" s="180"/>
      <c r="AB130" s="178"/>
      <c r="AC130" s="151"/>
      <c r="AD130" s="151"/>
      <c r="AE130" s="151"/>
      <c r="AF130" s="151"/>
      <c r="AG130" s="151"/>
      <c r="AH130" s="260" t="s">
        <v>841</v>
      </c>
      <c r="AI130" s="159"/>
      <c r="AJ130" s="263">
        <v>44320</v>
      </c>
    </row>
    <row r="131" spans="1:36" ht="12" customHeight="1">
      <c r="A131" s="97" t="s">
        <v>182</v>
      </c>
      <c r="B131" s="76" t="s">
        <v>1383</v>
      </c>
      <c r="C131" s="81" t="s">
        <v>16</v>
      </c>
      <c r="D131" s="81" t="s">
        <v>45</v>
      </c>
      <c r="E131" s="81" t="s">
        <v>18</v>
      </c>
      <c r="F131" s="95" t="s">
        <v>42</v>
      </c>
      <c r="G131" s="81" t="s">
        <v>386</v>
      </c>
      <c r="H131" s="76" t="s">
        <v>1384</v>
      </c>
      <c r="I131" s="87" t="s">
        <v>1385</v>
      </c>
      <c r="J131" s="49"/>
      <c r="K131" s="95" t="s">
        <v>507</v>
      </c>
      <c r="L131" s="38" t="s">
        <v>905</v>
      </c>
      <c r="M131" s="258" t="s">
        <v>505</v>
      </c>
      <c r="N131" s="259" t="s">
        <v>1247</v>
      </c>
      <c r="O131" s="155"/>
      <c r="P131" s="155"/>
      <c r="Q131" s="78" t="s">
        <v>1386</v>
      </c>
      <c r="R131" s="97" t="s">
        <v>1364</v>
      </c>
      <c r="S131" s="97" t="s">
        <v>498</v>
      </c>
      <c r="T131" s="124" t="s">
        <v>1032</v>
      </c>
      <c r="U131" s="147" t="s">
        <v>1322</v>
      </c>
      <c r="V131" s="149" t="s">
        <v>1387</v>
      </c>
      <c r="W131" s="143" t="s">
        <v>1388</v>
      </c>
      <c r="X131" s="97" t="s">
        <v>1389</v>
      </c>
      <c r="Y131" s="97" t="s">
        <v>654</v>
      </c>
      <c r="Z131" s="169"/>
      <c r="AA131" s="179"/>
      <c r="AB131" s="178"/>
      <c r="AC131" s="151"/>
      <c r="AD131" s="151"/>
      <c r="AE131" s="151"/>
      <c r="AF131" s="151"/>
      <c r="AG131" s="151"/>
      <c r="AH131" s="260" t="s">
        <v>841</v>
      </c>
      <c r="AI131" s="159"/>
      <c r="AJ131" s="263">
        <v>44320</v>
      </c>
    </row>
    <row r="132" spans="1:36" ht="12" hidden="1" customHeight="1">
      <c r="A132" s="97" t="s">
        <v>183</v>
      </c>
      <c r="B132" s="76" t="s">
        <v>1390</v>
      </c>
      <c r="C132" s="81" t="s">
        <v>16</v>
      </c>
      <c r="D132" s="81" t="s">
        <v>45</v>
      </c>
      <c r="E132" s="81" t="s">
        <v>18</v>
      </c>
      <c r="F132" s="95" t="s">
        <v>42</v>
      </c>
      <c r="G132" s="81" t="s">
        <v>387</v>
      </c>
      <c r="H132" s="76" t="s">
        <v>1390</v>
      </c>
      <c r="I132" s="87" t="s">
        <v>1391</v>
      </c>
      <c r="J132" s="49"/>
      <c r="K132" s="95" t="s">
        <v>507</v>
      </c>
      <c r="L132" s="38" t="s">
        <v>905</v>
      </c>
      <c r="M132" s="258" t="s">
        <v>43</v>
      </c>
      <c r="N132" s="259"/>
      <c r="O132" s="155"/>
      <c r="P132" s="155"/>
      <c r="Q132" s="78" t="s">
        <v>1386</v>
      </c>
      <c r="R132" s="97" t="s">
        <v>1364</v>
      </c>
      <c r="S132" s="97" t="s">
        <v>498</v>
      </c>
      <c r="T132" s="124" t="s">
        <v>518</v>
      </c>
      <c r="U132" s="156" t="s">
        <v>518</v>
      </c>
      <c r="V132" s="159"/>
      <c r="W132" s="143"/>
      <c r="X132" s="97" t="s">
        <v>1389</v>
      </c>
      <c r="Y132" s="97" t="s">
        <v>654</v>
      </c>
      <c r="Z132" s="169"/>
      <c r="AA132" s="179"/>
      <c r="AB132" s="178"/>
      <c r="AC132" s="151"/>
      <c r="AD132" s="151"/>
      <c r="AE132" s="151"/>
      <c r="AF132" s="151"/>
      <c r="AG132" s="151"/>
      <c r="AH132" s="260" t="s">
        <v>841</v>
      </c>
      <c r="AI132" s="159"/>
      <c r="AJ132" s="261"/>
    </row>
    <row r="133" spans="1:36" ht="12" hidden="1" customHeight="1">
      <c r="A133" s="97" t="s">
        <v>184</v>
      </c>
      <c r="B133" s="76" t="s">
        <v>1392</v>
      </c>
      <c r="C133" s="81" t="s">
        <v>16</v>
      </c>
      <c r="D133" s="81" t="s">
        <v>45</v>
      </c>
      <c r="E133" s="81" t="s">
        <v>18</v>
      </c>
      <c r="F133" s="95" t="s">
        <v>42</v>
      </c>
      <c r="G133" s="81" t="s">
        <v>388</v>
      </c>
      <c r="H133" s="76" t="s">
        <v>1393</v>
      </c>
      <c r="I133" s="87" t="s">
        <v>1394</v>
      </c>
      <c r="J133" s="49"/>
      <c r="K133" s="95" t="s">
        <v>509</v>
      </c>
      <c r="L133" s="38" t="s">
        <v>905</v>
      </c>
      <c r="M133" s="258" t="s">
        <v>43</v>
      </c>
      <c r="N133" s="259"/>
      <c r="O133" s="155"/>
      <c r="P133" s="155"/>
      <c r="Q133" s="78" t="s">
        <v>1386</v>
      </c>
      <c r="R133" s="97" t="s">
        <v>1364</v>
      </c>
      <c r="S133" s="97" t="s">
        <v>498</v>
      </c>
      <c r="T133" s="124" t="s">
        <v>518</v>
      </c>
      <c r="U133" s="170" t="s">
        <v>602</v>
      </c>
      <c r="V133" s="170" t="s">
        <v>724</v>
      </c>
      <c r="W133" s="143"/>
      <c r="X133" s="97" t="s">
        <v>1395</v>
      </c>
      <c r="Y133" s="97" t="s">
        <v>654</v>
      </c>
      <c r="Z133" s="174"/>
      <c r="AA133" s="179"/>
      <c r="AB133" s="178"/>
      <c r="AC133" s="151"/>
      <c r="AD133" s="151"/>
      <c r="AE133" s="151"/>
      <c r="AF133" s="151"/>
      <c r="AG133" s="151"/>
      <c r="AH133" s="260" t="s">
        <v>841</v>
      </c>
      <c r="AI133" s="159"/>
      <c r="AJ133" s="261"/>
    </row>
    <row r="134" spans="1:36" ht="12" hidden="1" customHeight="1">
      <c r="A134" s="97" t="s">
        <v>185</v>
      </c>
      <c r="B134" s="76" t="s">
        <v>1396</v>
      </c>
      <c r="C134" s="81" t="s">
        <v>16</v>
      </c>
      <c r="D134" s="81" t="s">
        <v>45</v>
      </c>
      <c r="E134" s="81" t="s">
        <v>18</v>
      </c>
      <c r="F134" s="95" t="s">
        <v>42</v>
      </c>
      <c r="G134" s="81" t="s">
        <v>389</v>
      </c>
      <c r="H134" s="76" t="s">
        <v>1397</v>
      </c>
      <c r="I134" s="87" t="s">
        <v>1398</v>
      </c>
      <c r="J134" s="49"/>
      <c r="K134" s="95" t="s">
        <v>507</v>
      </c>
      <c r="L134" s="38" t="s">
        <v>905</v>
      </c>
      <c r="M134" s="258" t="s">
        <v>912</v>
      </c>
      <c r="N134" s="259"/>
      <c r="O134" s="155"/>
      <c r="P134" s="155"/>
      <c r="Q134" s="78" t="s">
        <v>1386</v>
      </c>
      <c r="R134" s="97" t="s">
        <v>1364</v>
      </c>
      <c r="S134" s="97" t="s">
        <v>498</v>
      </c>
      <c r="T134" s="124" t="s">
        <v>518</v>
      </c>
      <c r="U134" s="128"/>
      <c r="V134" s="128"/>
      <c r="W134" s="143"/>
      <c r="X134" s="97" t="s">
        <v>1389</v>
      </c>
      <c r="Y134" s="97" t="s">
        <v>654</v>
      </c>
      <c r="Z134" s="174"/>
      <c r="AA134" s="180"/>
      <c r="AB134" s="178"/>
      <c r="AC134" s="151"/>
      <c r="AD134" s="151"/>
      <c r="AE134" s="151"/>
      <c r="AF134" s="151"/>
      <c r="AG134" s="151"/>
      <c r="AH134" s="260" t="s">
        <v>841</v>
      </c>
      <c r="AI134" s="159"/>
      <c r="AJ134" s="261"/>
    </row>
    <row r="135" spans="1:36" ht="12" hidden="1" customHeight="1">
      <c r="A135" s="97" t="s">
        <v>186</v>
      </c>
      <c r="B135" s="74" t="s">
        <v>1399</v>
      </c>
      <c r="C135" s="81" t="s">
        <v>16</v>
      </c>
      <c r="D135" s="81" t="s">
        <v>45</v>
      </c>
      <c r="E135" s="81" t="s">
        <v>18</v>
      </c>
      <c r="F135" s="95" t="s">
        <v>42</v>
      </c>
      <c r="G135" s="81" t="s">
        <v>390</v>
      </c>
      <c r="H135" s="75" t="s">
        <v>1399</v>
      </c>
      <c r="I135" s="243" t="s">
        <v>1400</v>
      </c>
      <c r="J135" s="49"/>
      <c r="K135" s="81" t="s">
        <v>507</v>
      </c>
      <c r="L135" s="38" t="s">
        <v>905</v>
      </c>
      <c r="M135" s="258" t="s">
        <v>505</v>
      </c>
      <c r="N135" s="259" t="s">
        <v>1247</v>
      </c>
      <c r="O135" s="155"/>
      <c r="P135" s="155"/>
      <c r="Q135" s="78" t="s">
        <v>487</v>
      </c>
      <c r="R135" s="97" t="s">
        <v>1128</v>
      </c>
      <c r="S135" s="81" t="s">
        <v>1401</v>
      </c>
      <c r="T135" s="124" t="s">
        <v>1343</v>
      </c>
      <c r="U135" s="95" t="s">
        <v>1221</v>
      </c>
      <c r="V135" s="95" t="s">
        <v>1402</v>
      </c>
      <c r="W135" s="143"/>
      <c r="X135" s="97" t="s">
        <v>1378</v>
      </c>
      <c r="Y135" s="97" t="s">
        <v>655</v>
      </c>
      <c r="Z135" s="169"/>
      <c r="AA135" s="179"/>
      <c r="AB135" s="178"/>
      <c r="AC135" s="151"/>
      <c r="AD135" s="151"/>
      <c r="AE135" s="151"/>
      <c r="AF135" s="151"/>
      <c r="AG135" s="151"/>
      <c r="AH135" s="260" t="s">
        <v>841</v>
      </c>
      <c r="AI135" s="159"/>
      <c r="AJ135" s="263">
        <v>44320</v>
      </c>
    </row>
    <row r="136" spans="1:36" ht="12" hidden="1" customHeight="1">
      <c r="A136" s="170" t="s">
        <v>1403</v>
      </c>
      <c r="B136" s="224" t="s">
        <v>1404</v>
      </c>
      <c r="C136" s="83" t="s">
        <v>16</v>
      </c>
      <c r="D136" s="83" t="s">
        <v>45</v>
      </c>
      <c r="E136" s="83" t="s">
        <v>19</v>
      </c>
      <c r="F136" s="170" t="s">
        <v>42</v>
      </c>
      <c r="G136" s="83" t="s">
        <v>391</v>
      </c>
      <c r="H136" s="223" t="s">
        <v>1405</v>
      </c>
      <c r="I136" s="94" t="s">
        <v>1406</v>
      </c>
      <c r="J136" s="49"/>
      <c r="K136" s="83" t="s">
        <v>1407</v>
      </c>
      <c r="L136" s="48" t="s">
        <v>905</v>
      </c>
      <c r="M136" s="264" t="s">
        <v>44</v>
      </c>
      <c r="N136" s="267" t="s">
        <v>1408</v>
      </c>
      <c r="O136" s="155"/>
      <c r="P136" s="155"/>
      <c r="Q136" s="225" t="s">
        <v>487</v>
      </c>
      <c r="R136" s="170" t="s">
        <v>1128</v>
      </c>
      <c r="S136" s="83" t="s">
        <v>1401</v>
      </c>
      <c r="T136" s="124" t="s">
        <v>518</v>
      </c>
      <c r="U136" s="156" t="s">
        <v>518</v>
      </c>
      <c r="V136" s="159"/>
      <c r="W136" s="143"/>
      <c r="X136" s="97" t="s">
        <v>1378</v>
      </c>
      <c r="Y136" s="97" t="s">
        <v>1409</v>
      </c>
      <c r="Z136" s="169"/>
      <c r="AA136" s="179"/>
      <c r="AB136" s="178"/>
      <c r="AC136" s="151"/>
      <c r="AD136" s="151"/>
      <c r="AE136" s="151"/>
      <c r="AF136" s="151"/>
      <c r="AG136" s="151"/>
      <c r="AH136" s="260" t="s">
        <v>841</v>
      </c>
      <c r="AI136" s="159"/>
      <c r="AJ136" s="261"/>
    </row>
    <row r="137" spans="1:36" ht="12" hidden="1" customHeight="1">
      <c r="A137" s="170" t="s">
        <v>1403</v>
      </c>
      <c r="B137" s="224" t="s">
        <v>1404</v>
      </c>
      <c r="C137" s="83" t="s">
        <v>16</v>
      </c>
      <c r="D137" s="83" t="s">
        <v>45</v>
      </c>
      <c r="E137" s="83" t="s">
        <v>19</v>
      </c>
      <c r="F137" s="170" t="s">
        <v>42</v>
      </c>
      <c r="G137" s="83" t="s">
        <v>392</v>
      </c>
      <c r="H137" s="223" t="s">
        <v>1410</v>
      </c>
      <c r="I137" s="227" t="s">
        <v>1411</v>
      </c>
      <c r="J137" s="49"/>
      <c r="K137" s="83" t="s">
        <v>1407</v>
      </c>
      <c r="L137" s="48" t="s">
        <v>905</v>
      </c>
      <c r="M137" s="264" t="s">
        <v>44</v>
      </c>
      <c r="N137" s="265" t="s">
        <v>1412</v>
      </c>
      <c r="O137" s="155"/>
      <c r="P137" s="155"/>
      <c r="Q137" s="225" t="s">
        <v>1413</v>
      </c>
      <c r="R137" s="170" t="s">
        <v>1128</v>
      </c>
      <c r="S137" s="83" t="s">
        <v>1401</v>
      </c>
      <c r="T137" s="124" t="s">
        <v>518</v>
      </c>
      <c r="U137" s="95" t="s">
        <v>1221</v>
      </c>
      <c r="V137" s="95" t="s">
        <v>1402</v>
      </c>
      <c r="W137" s="143"/>
      <c r="X137" s="97" t="s">
        <v>1378</v>
      </c>
      <c r="Y137" s="97" t="s">
        <v>655</v>
      </c>
      <c r="Z137" s="174"/>
      <c r="AA137" s="180"/>
      <c r="AB137" s="178"/>
      <c r="AC137" s="151"/>
      <c r="AD137" s="151"/>
      <c r="AE137" s="151"/>
      <c r="AF137" s="151"/>
      <c r="AG137" s="151"/>
      <c r="AH137" s="260" t="s">
        <v>841</v>
      </c>
      <c r="AI137" s="159"/>
      <c r="AJ137" s="261"/>
    </row>
    <row r="138" spans="1:36" ht="12" hidden="1" customHeight="1">
      <c r="A138" s="97" t="s">
        <v>1414</v>
      </c>
      <c r="B138" s="78" t="s">
        <v>1415</v>
      </c>
      <c r="C138" s="81" t="s">
        <v>16</v>
      </c>
      <c r="D138" s="81" t="s">
        <v>45</v>
      </c>
      <c r="E138" s="81" t="s">
        <v>18</v>
      </c>
      <c r="F138" s="95" t="s">
        <v>42</v>
      </c>
      <c r="G138" s="81" t="s">
        <v>393</v>
      </c>
      <c r="H138" s="74" t="s">
        <v>1416</v>
      </c>
      <c r="I138" s="90" t="s">
        <v>1417</v>
      </c>
      <c r="J138" s="49"/>
      <c r="K138" s="81" t="s">
        <v>507</v>
      </c>
      <c r="L138" s="38" t="s">
        <v>905</v>
      </c>
      <c r="M138" s="258" t="s">
        <v>43</v>
      </c>
      <c r="N138" s="259"/>
      <c r="O138" s="155"/>
      <c r="P138" s="155"/>
      <c r="Q138" s="78" t="s">
        <v>487</v>
      </c>
      <c r="R138" s="97" t="s">
        <v>1128</v>
      </c>
      <c r="S138" s="81" t="s">
        <v>1401</v>
      </c>
      <c r="T138" s="124" t="s">
        <v>518</v>
      </c>
      <c r="U138" s="156" t="s">
        <v>518</v>
      </c>
      <c r="V138" s="159"/>
      <c r="W138" s="143"/>
      <c r="X138" s="97" t="s">
        <v>1174</v>
      </c>
      <c r="Y138" s="97" t="s">
        <v>655</v>
      </c>
      <c r="Z138" s="169"/>
      <c r="AA138" s="179"/>
      <c r="AB138" s="178"/>
      <c r="AC138" s="151"/>
      <c r="AD138" s="151"/>
      <c r="AE138" s="151"/>
      <c r="AF138" s="151"/>
      <c r="AG138" s="151"/>
      <c r="AH138" s="260" t="s">
        <v>841</v>
      </c>
      <c r="AI138" s="159"/>
      <c r="AJ138" s="261"/>
    </row>
    <row r="139" spans="1:36" ht="12" hidden="1" customHeight="1">
      <c r="A139" s="97" t="s">
        <v>1414</v>
      </c>
      <c r="B139" s="78" t="s">
        <v>1415</v>
      </c>
      <c r="C139" s="81" t="s">
        <v>16</v>
      </c>
      <c r="D139" s="81" t="s">
        <v>45</v>
      </c>
      <c r="E139" s="81" t="s">
        <v>18</v>
      </c>
      <c r="F139" s="95" t="s">
        <v>42</v>
      </c>
      <c r="G139" s="81" t="s">
        <v>394</v>
      </c>
      <c r="H139" s="74" t="s">
        <v>1418</v>
      </c>
      <c r="I139" s="90" t="s">
        <v>1419</v>
      </c>
      <c r="J139" s="49"/>
      <c r="K139" s="81" t="s">
        <v>507</v>
      </c>
      <c r="L139" s="38" t="s">
        <v>905</v>
      </c>
      <c r="M139" s="258" t="s">
        <v>43</v>
      </c>
      <c r="N139" s="259"/>
      <c r="O139" s="155"/>
      <c r="P139" s="155"/>
      <c r="Q139" s="78" t="s">
        <v>487</v>
      </c>
      <c r="R139" s="97" t="s">
        <v>1128</v>
      </c>
      <c r="S139" s="81" t="s">
        <v>1401</v>
      </c>
      <c r="T139" s="124" t="s">
        <v>1032</v>
      </c>
      <c r="U139" s="95" t="s">
        <v>1221</v>
      </c>
      <c r="V139" s="95" t="s">
        <v>1402</v>
      </c>
      <c r="W139" s="143"/>
      <c r="X139" s="97" t="s">
        <v>1146</v>
      </c>
      <c r="Y139" s="97" t="s">
        <v>655</v>
      </c>
      <c r="Z139" s="169"/>
      <c r="AA139" s="179"/>
      <c r="AB139" s="178"/>
      <c r="AC139" s="151"/>
      <c r="AD139" s="151"/>
      <c r="AE139" s="151"/>
      <c r="AF139" s="151"/>
      <c r="AG139" s="151"/>
      <c r="AH139" s="260" t="s">
        <v>841</v>
      </c>
      <c r="AI139" s="159"/>
      <c r="AJ139" s="261"/>
    </row>
    <row r="140" spans="1:36" ht="12" hidden="1" customHeight="1">
      <c r="A140" s="97" t="s">
        <v>1414</v>
      </c>
      <c r="B140" s="78" t="s">
        <v>1415</v>
      </c>
      <c r="C140" s="81" t="s">
        <v>16</v>
      </c>
      <c r="D140" s="81" t="s">
        <v>45</v>
      </c>
      <c r="E140" s="81" t="s">
        <v>18</v>
      </c>
      <c r="F140" s="95" t="s">
        <v>42</v>
      </c>
      <c r="G140" s="81" t="s">
        <v>395</v>
      </c>
      <c r="H140" s="74" t="s">
        <v>1420</v>
      </c>
      <c r="I140" s="90" t="s">
        <v>1421</v>
      </c>
      <c r="J140" s="49"/>
      <c r="K140" s="81" t="s">
        <v>507</v>
      </c>
      <c r="L140" s="38" t="s">
        <v>905</v>
      </c>
      <c r="M140" s="258" t="s">
        <v>43</v>
      </c>
      <c r="N140" s="259"/>
      <c r="O140" s="155"/>
      <c r="P140" s="155"/>
      <c r="Q140" s="78" t="s">
        <v>487</v>
      </c>
      <c r="R140" s="97" t="s">
        <v>1128</v>
      </c>
      <c r="S140" s="81" t="s">
        <v>1401</v>
      </c>
      <c r="T140" s="124" t="s">
        <v>518</v>
      </c>
      <c r="U140" s="156" t="s">
        <v>518</v>
      </c>
      <c r="V140" s="159"/>
      <c r="W140" s="143"/>
      <c r="X140" s="97" t="s">
        <v>1174</v>
      </c>
      <c r="Y140" s="97" t="s">
        <v>655</v>
      </c>
      <c r="Z140" s="169"/>
      <c r="AA140" s="179"/>
      <c r="AB140" s="178"/>
      <c r="AC140" s="151"/>
      <c r="AD140" s="151"/>
      <c r="AE140" s="151"/>
      <c r="AF140" s="151"/>
      <c r="AG140" s="151"/>
      <c r="AH140" s="260" t="s">
        <v>841</v>
      </c>
      <c r="AI140" s="159"/>
      <c r="AJ140" s="261"/>
    </row>
    <row r="141" spans="1:36" ht="12" hidden="1" customHeight="1">
      <c r="A141" s="97" t="s">
        <v>1422</v>
      </c>
      <c r="B141" s="74" t="s">
        <v>1423</v>
      </c>
      <c r="C141" s="81" t="s">
        <v>16</v>
      </c>
      <c r="D141" s="81" t="s">
        <v>45</v>
      </c>
      <c r="E141" s="81" t="s">
        <v>18</v>
      </c>
      <c r="F141" s="95" t="s">
        <v>42</v>
      </c>
      <c r="G141" s="81" t="s">
        <v>1424</v>
      </c>
      <c r="H141" s="74" t="s">
        <v>1425</v>
      </c>
      <c r="I141" s="90" t="s">
        <v>1426</v>
      </c>
      <c r="J141" s="49"/>
      <c r="K141" s="81" t="s">
        <v>1407</v>
      </c>
      <c r="L141" s="38" t="s">
        <v>905</v>
      </c>
      <c r="M141" s="258" t="s">
        <v>505</v>
      </c>
      <c r="N141" s="259" t="s">
        <v>1247</v>
      </c>
      <c r="O141" s="155"/>
      <c r="P141" s="155"/>
      <c r="Q141" s="78" t="s">
        <v>487</v>
      </c>
      <c r="R141" s="97" t="s">
        <v>1128</v>
      </c>
      <c r="S141" s="81" t="s">
        <v>1401</v>
      </c>
      <c r="T141" s="124" t="s">
        <v>518</v>
      </c>
      <c r="U141" s="95" t="s">
        <v>1221</v>
      </c>
      <c r="V141" s="95" t="s">
        <v>1402</v>
      </c>
      <c r="W141" s="143"/>
      <c r="X141" s="97" t="s">
        <v>1174</v>
      </c>
      <c r="Y141" s="97" t="s">
        <v>655</v>
      </c>
      <c r="Z141" s="169"/>
      <c r="AA141" s="179"/>
      <c r="AB141" s="178"/>
      <c r="AC141" s="151"/>
      <c r="AD141" s="151"/>
      <c r="AE141" s="151"/>
      <c r="AF141" s="151"/>
      <c r="AG141" s="151"/>
      <c r="AH141" s="260" t="s">
        <v>841</v>
      </c>
      <c r="AI141" s="159"/>
      <c r="AJ141" s="263">
        <v>44320</v>
      </c>
    </row>
    <row r="142" spans="1:36" ht="12" hidden="1" customHeight="1">
      <c r="A142" s="97" t="s">
        <v>187</v>
      </c>
      <c r="B142" s="74" t="s">
        <v>1427</v>
      </c>
      <c r="C142" s="81" t="s">
        <v>16</v>
      </c>
      <c r="D142" s="81" t="s">
        <v>45</v>
      </c>
      <c r="E142" s="81" t="s">
        <v>18</v>
      </c>
      <c r="F142" s="95" t="s">
        <v>939</v>
      </c>
      <c r="G142" s="81" t="s">
        <v>1428</v>
      </c>
      <c r="H142" s="74" t="s">
        <v>1429</v>
      </c>
      <c r="I142" s="90" t="s">
        <v>1430</v>
      </c>
      <c r="J142" s="49"/>
      <c r="K142" s="81" t="s">
        <v>1431</v>
      </c>
      <c r="L142" s="38" t="s">
        <v>905</v>
      </c>
      <c r="M142" s="258" t="s">
        <v>1219</v>
      </c>
      <c r="N142" s="259" t="s">
        <v>1432</v>
      </c>
      <c r="O142" s="155"/>
      <c r="P142" s="155"/>
      <c r="Q142" s="78" t="s">
        <v>487</v>
      </c>
      <c r="R142" s="97" t="s">
        <v>1128</v>
      </c>
      <c r="S142" s="81" t="s">
        <v>1401</v>
      </c>
      <c r="T142" s="124" t="s">
        <v>518</v>
      </c>
      <c r="U142" s="128" t="s">
        <v>1433</v>
      </c>
      <c r="V142" s="128" t="s">
        <v>1174</v>
      </c>
      <c r="W142" s="143"/>
      <c r="X142" s="97" t="s">
        <v>1174</v>
      </c>
      <c r="Y142" s="97" t="s">
        <v>660</v>
      </c>
      <c r="Z142" s="169"/>
      <c r="AA142" s="186" t="s">
        <v>1343</v>
      </c>
      <c r="AB142" s="178"/>
      <c r="AC142" s="151"/>
      <c r="AD142" s="151"/>
      <c r="AE142" s="151"/>
      <c r="AF142" s="151"/>
      <c r="AG142" s="151"/>
      <c r="AH142" s="260" t="s">
        <v>841</v>
      </c>
      <c r="AI142" s="159"/>
      <c r="AJ142" s="263">
        <v>44320</v>
      </c>
    </row>
    <row r="143" spans="1:36" ht="12" hidden="1" customHeight="1">
      <c r="A143" s="170" t="s">
        <v>1434</v>
      </c>
      <c r="B143" s="223" t="s">
        <v>1435</v>
      </c>
      <c r="C143" s="83" t="s">
        <v>16</v>
      </c>
      <c r="D143" s="83" t="s">
        <v>45</v>
      </c>
      <c r="E143" s="83" t="s">
        <v>19</v>
      </c>
      <c r="F143" s="170" t="s">
        <v>42</v>
      </c>
      <c r="G143" s="83" t="s">
        <v>461</v>
      </c>
      <c r="H143" s="223" t="s">
        <v>1436</v>
      </c>
      <c r="I143" s="92" t="s">
        <v>1437</v>
      </c>
      <c r="J143" s="49"/>
      <c r="K143" s="170" t="s">
        <v>510</v>
      </c>
      <c r="L143" s="48" t="s">
        <v>905</v>
      </c>
      <c r="M143" s="264" t="s">
        <v>44</v>
      </c>
      <c r="N143" s="265" t="s">
        <v>1438</v>
      </c>
      <c r="O143" s="155"/>
      <c r="P143" s="155"/>
      <c r="Q143" s="143" t="s">
        <v>1439</v>
      </c>
      <c r="R143" s="170" t="s">
        <v>1128</v>
      </c>
      <c r="S143" s="83" t="s">
        <v>1401</v>
      </c>
      <c r="T143" s="124" t="s">
        <v>1032</v>
      </c>
      <c r="U143" s="170" t="s">
        <v>603</v>
      </c>
      <c r="V143" s="170" t="s">
        <v>626</v>
      </c>
      <c r="W143" s="143"/>
      <c r="X143" s="97" t="s">
        <v>1174</v>
      </c>
      <c r="Y143" s="97" t="s">
        <v>655</v>
      </c>
      <c r="Z143" s="169"/>
      <c r="AA143" s="179"/>
      <c r="AB143" s="178"/>
      <c r="AC143" s="151"/>
      <c r="AD143" s="151"/>
      <c r="AE143" s="151"/>
      <c r="AF143" s="151"/>
      <c r="AG143" s="151"/>
      <c r="AH143" s="260" t="s">
        <v>841</v>
      </c>
      <c r="AI143" s="159"/>
      <c r="AJ143" s="261"/>
    </row>
    <row r="144" spans="1:36" ht="12" hidden="1" customHeight="1">
      <c r="A144" s="97" t="s">
        <v>1434</v>
      </c>
      <c r="B144" s="76" t="s">
        <v>1435</v>
      </c>
      <c r="C144" s="81" t="s">
        <v>16</v>
      </c>
      <c r="D144" s="81" t="s">
        <v>45</v>
      </c>
      <c r="E144" s="81" t="s">
        <v>18</v>
      </c>
      <c r="F144" s="97" t="s">
        <v>42</v>
      </c>
      <c r="G144" s="81" t="s">
        <v>1440</v>
      </c>
      <c r="H144" s="85" t="s">
        <v>1441</v>
      </c>
      <c r="I144" s="75" t="s">
        <v>1442</v>
      </c>
      <c r="J144" s="49"/>
      <c r="K144" s="81" t="s">
        <v>507</v>
      </c>
      <c r="L144" s="38" t="s">
        <v>905</v>
      </c>
      <c r="M144" s="258" t="s">
        <v>1219</v>
      </c>
      <c r="N144" s="259" t="s">
        <v>1443</v>
      </c>
      <c r="O144" s="155"/>
      <c r="P144" s="155"/>
      <c r="Q144" s="99" t="s">
        <v>1444</v>
      </c>
      <c r="R144" s="97" t="s">
        <v>1128</v>
      </c>
      <c r="S144" s="81" t="s">
        <v>1401</v>
      </c>
      <c r="T144" s="124" t="s">
        <v>1343</v>
      </c>
      <c r="U144" s="175" t="s">
        <v>604</v>
      </c>
      <c r="V144" s="175" t="s">
        <v>1445</v>
      </c>
      <c r="W144" s="143"/>
      <c r="X144" s="97" t="s">
        <v>1146</v>
      </c>
      <c r="Y144" s="97" t="s">
        <v>655</v>
      </c>
      <c r="Z144" s="174"/>
      <c r="AA144" s="179"/>
      <c r="AB144" s="178"/>
      <c r="AC144" s="151"/>
      <c r="AD144" s="151"/>
      <c r="AE144" s="151"/>
      <c r="AF144" s="151"/>
      <c r="AG144" s="151"/>
      <c r="AH144" s="260" t="s">
        <v>841</v>
      </c>
      <c r="AI144" s="159"/>
      <c r="AJ144" s="263">
        <v>44320</v>
      </c>
    </row>
    <row r="145" spans="1:36" ht="12" hidden="1" customHeight="1">
      <c r="A145" s="97" t="s">
        <v>1434</v>
      </c>
      <c r="B145" s="76" t="s">
        <v>1435</v>
      </c>
      <c r="C145" s="81" t="s">
        <v>16</v>
      </c>
      <c r="D145" s="81" t="s">
        <v>45</v>
      </c>
      <c r="E145" s="81" t="s">
        <v>18</v>
      </c>
      <c r="F145" s="97" t="s">
        <v>42</v>
      </c>
      <c r="G145" s="81" t="s">
        <v>1446</v>
      </c>
      <c r="H145" s="85" t="s">
        <v>1447</v>
      </c>
      <c r="I145" s="75" t="s">
        <v>1448</v>
      </c>
      <c r="J145" s="49"/>
      <c r="K145" s="81" t="s">
        <v>507</v>
      </c>
      <c r="L145" s="38" t="s">
        <v>905</v>
      </c>
      <c r="M145" s="258" t="s">
        <v>505</v>
      </c>
      <c r="N145" s="259" t="s">
        <v>1449</v>
      </c>
      <c r="O145" s="155"/>
      <c r="P145" s="155"/>
      <c r="Q145" s="99" t="s">
        <v>1413</v>
      </c>
      <c r="R145" s="97" t="s">
        <v>1128</v>
      </c>
      <c r="S145" s="81" t="s">
        <v>1401</v>
      </c>
      <c r="T145" s="124" t="s">
        <v>1343</v>
      </c>
      <c r="U145" s="95" t="s">
        <v>1221</v>
      </c>
      <c r="V145" s="95" t="s">
        <v>1402</v>
      </c>
      <c r="W145" s="143"/>
      <c r="X145" s="97" t="s">
        <v>1146</v>
      </c>
      <c r="Y145" s="97" t="s">
        <v>655</v>
      </c>
      <c r="Z145" s="174" t="s">
        <v>1343</v>
      </c>
      <c r="AA145" s="180"/>
      <c r="AB145" s="178"/>
      <c r="AC145" s="151"/>
      <c r="AD145" s="151"/>
      <c r="AE145" s="151"/>
      <c r="AF145" s="151"/>
      <c r="AG145" s="151"/>
      <c r="AH145" s="260" t="s">
        <v>841</v>
      </c>
      <c r="AI145" s="159"/>
      <c r="AJ145" s="263">
        <v>44336</v>
      </c>
    </row>
    <row r="146" spans="1:36" ht="12" hidden="1" customHeight="1">
      <c r="A146" s="170" t="s">
        <v>1434</v>
      </c>
      <c r="B146" s="223" t="s">
        <v>1435</v>
      </c>
      <c r="C146" s="83" t="s">
        <v>16</v>
      </c>
      <c r="D146" s="83" t="s">
        <v>45</v>
      </c>
      <c r="E146" s="83" t="s">
        <v>19</v>
      </c>
      <c r="F146" s="170" t="s">
        <v>42</v>
      </c>
      <c r="G146" s="83" t="s">
        <v>1450</v>
      </c>
      <c r="H146" s="223" t="s">
        <v>1451</v>
      </c>
      <c r="I146" s="93" t="s">
        <v>1452</v>
      </c>
      <c r="J146" s="49"/>
      <c r="K146" s="83" t="s">
        <v>507</v>
      </c>
      <c r="L146" s="48" t="s">
        <v>905</v>
      </c>
      <c r="M146" s="264" t="s">
        <v>44</v>
      </c>
      <c r="N146" s="267" t="s">
        <v>1453</v>
      </c>
      <c r="O146" s="155"/>
      <c r="P146" s="155"/>
      <c r="Q146" s="143" t="s">
        <v>1413</v>
      </c>
      <c r="R146" s="170" t="s">
        <v>1128</v>
      </c>
      <c r="S146" s="83" t="s">
        <v>1401</v>
      </c>
      <c r="T146" s="124" t="s">
        <v>518</v>
      </c>
      <c r="U146" s="156" t="s">
        <v>518</v>
      </c>
      <c r="V146" s="159"/>
      <c r="W146" s="143"/>
      <c r="X146" s="97" t="s">
        <v>1378</v>
      </c>
      <c r="Y146" s="97" t="s">
        <v>655</v>
      </c>
      <c r="Z146" s="169"/>
      <c r="AA146" s="179"/>
      <c r="AB146" s="178"/>
      <c r="AC146" s="151"/>
      <c r="AD146" s="151"/>
      <c r="AE146" s="151"/>
      <c r="AF146" s="151"/>
      <c r="AG146" s="151"/>
      <c r="AH146" s="260" t="s">
        <v>841</v>
      </c>
      <c r="AI146" s="159"/>
      <c r="AJ146" s="261"/>
    </row>
    <row r="147" spans="1:36" ht="12" hidden="1" customHeight="1">
      <c r="A147" s="97" t="s">
        <v>1454</v>
      </c>
      <c r="B147" s="78" t="s">
        <v>289</v>
      </c>
      <c r="C147" s="81" t="s">
        <v>16</v>
      </c>
      <c r="D147" s="81" t="s">
        <v>45</v>
      </c>
      <c r="E147" s="81" t="s">
        <v>18</v>
      </c>
      <c r="F147" s="95" t="s">
        <v>42</v>
      </c>
      <c r="G147" s="81" t="s">
        <v>1455</v>
      </c>
      <c r="H147" s="75" t="s">
        <v>1456</v>
      </c>
      <c r="I147" s="90" t="s">
        <v>1457</v>
      </c>
      <c r="J147" s="49"/>
      <c r="K147" s="81" t="s">
        <v>1458</v>
      </c>
      <c r="L147" s="38" t="s">
        <v>905</v>
      </c>
      <c r="M147" s="258" t="s">
        <v>1219</v>
      </c>
      <c r="N147" s="187" t="s">
        <v>1459</v>
      </c>
      <c r="O147" s="155"/>
      <c r="P147" s="155"/>
      <c r="Q147" s="78" t="s">
        <v>1460</v>
      </c>
      <c r="R147" s="97" t="s">
        <v>1461</v>
      </c>
      <c r="S147" s="81" t="s">
        <v>1462</v>
      </c>
      <c r="T147" s="124" t="s">
        <v>518</v>
      </c>
      <c r="U147" s="97" t="s">
        <v>1463</v>
      </c>
      <c r="V147" s="97" t="s">
        <v>1464</v>
      </c>
      <c r="W147" s="143" t="s">
        <v>1465</v>
      </c>
      <c r="X147" s="97" t="s">
        <v>1466</v>
      </c>
      <c r="Y147" s="97" t="s">
        <v>653</v>
      </c>
      <c r="Z147" s="174"/>
      <c r="AA147" s="53" t="s">
        <v>1343</v>
      </c>
      <c r="AB147" s="178"/>
      <c r="AC147" s="151"/>
      <c r="AD147" s="151"/>
      <c r="AE147" s="151"/>
      <c r="AF147" s="151"/>
      <c r="AG147" s="151"/>
      <c r="AH147" s="260" t="s">
        <v>841</v>
      </c>
      <c r="AI147" s="159"/>
      <c r="AJ147" s="263">
        <v>44320</v>
      </c>
    </row>
    <row r="148" spans="1:36" ht="12" hidden="1" customHeight="1">
      <c r="A148" s="97" t="s">
        <v>1454</v>
      </c>
      <c r="B148" s="78" t="s">
        <v>289</v>
      </c>
      <c r="C148" s="81" t="s">
        <v>16</v>
      </c>
      <c r="D148" s="81" t="s">
        <v>45</v>
      </c>
      <c r="E148" s="81" t="s">
        <v>18</v>
      </c>
      <c r="F148" s="95" t="s">
        <v>42</v>
      </c>
      <c r="G148" s="81" t="s">
        <v>396</v>
      </c>
      <c r="H148" s="75" t="s">
        <v>1467</v>
      </c>
      <c r="I148" s="90" t="s">
        <v>1468</v>
      </c>
      <c r="J148" s="49"/>
      <c r="K148" s="81" t="s">
        <v>1458</v>
      </c>
      <c r="L148" s="38" t="s">
        <v>905</v>
      </c>
      <c r="M148" s="258" t="s">
        <v>912</v>
      </c>
      <c r="N148" s="259"/>
      <c r="O148" s="155"/>
      <c r="P148" s="155"/>
      <c r="Q148" s="78" t="s">
        <v>1460</v>
      </c>
      <c r="R148" s="97" t="s">
        <v>1461</v>
      </c>
      <c r="S148" s="81" t="s">
        <v>1462</v>
      </c>
      <c r="T148" s="124" t="s">
        <v>518</v>
      </c>
      <c r="U148" s="97" t="s">
        <v>1463</v>
      </c>
      <c r="V148" s="97" t="s">
        <v>1464</v>
      </c>
      <c r="W148" s="143" t="s">
        <v>1465</v>
      </c>
      <c r="X148" s="97" t="s">
        <v>1466</v>
      </c>
      <c r="Y148" s="97" t="s">
        <v>653</v>
      </c>
      <c r="Z148" s="174"/>
      <c r="AA148" s="179"/>
      <c r="AB148" s="178"/>
      <c r="AC148" s="151"/>
      <c r="AD148" s="151"/>
      <c r="AE148" s="151"/>
      <c r="AF148" s="151"/>
      <c r="AG148" s="151"/>
      <c r="AH148" s="260" t="s">
        <v>841</v>
      </c>
      <c r="AI148" s="159"/>
      <c r="AJ148" s="261"/>
    </row>
    <row r="149" spans="1:36" ht="12" hidden="1" customHeight="1">
      <c r="A149" s="97" t="s">
        <v>1469</v>
      </c>
      <c r="B149" s="75" t="s">
        <v>1470</v>
      </c>
      <c r="C149" s="81" t="s">
        <v>16</v>
      </c>
      <c r="D149" s="81" t="s">
        <v>45</v>
      </c>
      <c r="E149" s="81" t="s">
        <v>18</v>
      </c>
      <c r="F149" s="95" t="s">
        <v>939</v>
      </c>
      <c r="G149" s="81" t="s">
        <v>397</v>
      </c>
      <c r="H149" s="75" t="s">
        <v>1470</v>
      </c>
      <c r="I149" s="90" t="s">
        <v>1471</v>
      </c>
      <c r="J149" s="49"/>
      <c r="K149" s="81" t="s">
        <v>482</v>
      </c>
      <c r="L149" s="38" t="s">
        <v>905</v>
      </c>
      <c r="M149" s="258" t="s">
        <v>505</v>
      </c>
      <c r="N149" s="259" t="s">
        <v>1472</v>
      </c>
      <c r="O149" s="155"/>
      <c r="P149" s="155"/>
      <c r="Q149" s="78" t="s">
        <v>1473</v>
      </c>
      <c r="R149" s="97" t="s">
        <v>1461</v>
      </c>
      <c r="S149" s="81" t="s">
        <v>1462</v>
      </c>
      <c r="T149" s="124" t="s">
        <v>518</v>
      </c>
      <c r="U149" s="156" t="s">
        <v>518</v>
      </c>
      <c r="V149" s="159"/>
      <c r="W149" s="143"/>
      <c r="X149" s="97" t="s">
        <v>1466</v>
      </c>
      <c r="Y149" s="97" t="s">
        <v>653</v>
      </c>
      <c r="Z149" s="169"/>
      <c r="AA149" s="179"/>
      <c r="AB149" s="178"/>
      <c r="AC149" s="151"/>
      <c r="AD149" s="151"/>
      <c r="AE149" s="151"/>
      <c r="AF149" s="151"/>
      <c r="AG149" s="151"/>
      <c r="AH149" s="260" t="s">
        <v>841</v>
      </c>
      <c r="AI149" s="159"/>
      <c r="AJ149" s="263">
        <v>44320</v>
      </c>
    </row>
    <row r="150" spans="1:36" ht="12" hidden="1" customHeight="1">
      <c r="A150" s="97" t="s">
        <v>188</v>
      </c>
      <c r="B150" s="75" t="s">
        <v>1474</v>
      </c>
      <c r="C150" s="81" t="s">
        <v>16</v>
      </c>
      <c r="D150" s="81" t="s">
        <v>45</v>
      </c>
      <c r="E150" s="81" t="s">
        <v>18</v>
      </c>
      <c r="F150" s="95" t="s">
        <v>939</v>
      </c>
      <c r="G150" s="81" t="s">
        <v>398</v>
      </c>
      <c r="H150" s="75" t="s">
        <v>1474</v>
      </c>
      <c r="I150" s="90" t="s">
        <v>1475</v>
      </c>
      <c r="J150" s="49"/>
      <c r="K150" s="81" t="s">
        <v>482</v>
      </c>
      <c r="L150" s="38" t="s">
        <v>905</v>
      </c>
      <c r="M150" s="258" t="s">
        <v>505</v>
      </c>
      <c r="N150" s="259" t="s">
        <v>1472</v>
      </c>
      <c r="O150" s="155"/>
      <c r="P150" s="155"/>
      <c r="Q150" s="78" t="s">
        <v>1473</v>
      </c>
      <c r="R150" s="97" t="s">
        <v>1461</v>
      </c>
      <c r="S150" s="81" t="s">
        <v>1462</v>
      </c>
      <c r="T150" s="124" t="s">
        <v>518</v>
      </c>
      <c r="U150" s="156" t="s">
        <v>518</v>
      </c>
      <c r="V150" s="159"/>
      <c r="W150" s="143"/>
      <c r="X150" s="97" t="s">
        <v>1466</v>
      </c>
      <c r="Y150" s="97" t="s">
        <v>653</v>
      </c>
      <c r="Z150" s="169"/>
      <c r="AA150" s="179"/>
      <c r="AB150" s="178"/>
      <c r="AC150" s="151"/>
      <c r="AD150" s="151"/>
      <c r="AE150" s="151"/>
      <c r="AF150" s="151"/>
      <c r="AG150" s="151"/>
      <c r="AH150" s="260" t="s">
        <v>841</v>
      </c>
      <c r="AI150" s="159"/>
      <c r="AJ150" s="263">
        <v>44320</v>
      </c>
    </row>
    <row r="151" spans="1:36" ht="12" hidden="1" customHeight="1">
      <c r="A151" s="170" t="s">
        <v>1434</v>
      </c>
      <c r="B151" s="223" t="s">
        <v>1435</v>
      </c>
      <c r="C151" s="83" t="s">
        <v>16</v>
      </c>
      <c r="D151" s="83" t="s">
        <v>45</v>
      </c>
      <c r="E151" s="83" t="s">
        <v>19</v>
      </c>
      <c r="F151" s="170" t="s">
        <v>42</v>
      </c>
      <c r="G151" s="83" t="s">
        <v>1476</v>
      </c>
      <c r="H151" s="223" t="s">
        <v>1477</v>
      </c>
      <c r="I151" s="92" t="s">
        <v>1478</v>
      </c>
      <c r="J151" s="49"/>
      <c r="K151" s="170" t="s">
        <v>510</v>
      </c>
      <c r="L151" s="48" t="s">
        <v>905</v>
      </c>
      <c r="M151" s="264" t="s">
        <v>44</v>
      </c>
      <c r="N151" s="267" t="s">
        <v>1479</v>
      </c>
      <c r="O151" s="155"/>
      <c r="P151" s="155"/>
      <c r="Q151" s="225" t="s">
        <v>1473</v>
      </c>
      <c r="R151" s="170" t="s">
        <v>1461</v>
      </c>
      <c r="S151" s="170" t="s">
        <v>1462</v>
      </c>
      <c r="T151" s="124" t="s">
        <v>518</v>
      </c>
      <c r="U151" s="156" t="s">
        <v>518</v>
      </c>
      <c r="V151" s="159"/>
      <c r="W151" s="143"/>
      <c r="X151" s="97" t="s">
        <v>1466</v>
      </c>
      <c r="Y151" s="97" t="s">
        <v>653</v>
      </c>
      <c r="Z151" s="169"/>
      <c r="AA151" s="179"/>
      <c r="AB151" s="178"/>
      <c r="AC151" s="151"/>
      <c r="AD151" s="151"/>
      <c r="AE151" s="151"/>
      <c r="AF151" s="151"/>
      <c r="AG151" s="151"/>
      <c r="AH151" s="260" t="s">
        <v>841</v>
      </c>
      <c r="AI151" s="159" t="s">
        <v>965</v>
      </c>
      <c r="AJ151" s="261"/>
    </row>
    <row r="152" spans="1:36" ht="12" hidden="1" customHeight="1">
      <c r="A152" s="97" t="s">
        <v>189</v>
      </c>
      <c r="B152" s="80" t="s">
        <v>1480</v>
      </c>
      <c r="C152" s="81" t="s">
        <v>16</v>
      </c>
      <c r="D152" s="81" t="s">
        <v>45</v>
      </c>
      <c r="E152" s="81" t="s">
        <v>18</v>
      </c>
      <c r="F152" s="95" t="s">
        <v>42</v>
      </c>
      <c r="G152" s="81" t="s">
        <v>399</v>
      </c>
      <c r="H152" s="76" t="s">
        <v>1481</v>
      </c>
      <c r="I152" s="87" t="s">
        <v>1482</v>
      </c>
      <c r="J152" s="49"/>
      <c r="K152" s="95" t="s">
        <v>1373</v>
      </c>
      <c r="L152" s="38" t="s">
        <v>905</v>
      </c>
      <c r="M152" s="258" t="s">
        <v>43</v>
      </c>
      <c r="N152" s="259"/>
      <c r="O152" s="155"/>
      <c r="P152" s="155"/>
      <c r="Q152" s="99" t="s">
        <v>622</v>
      </c>
      <c r="R152" s="97" t="s">
        <v>1483</v>
      </c>
      <c r="S152" s="97" t="s">
        <v>1484</v>
      </c>
      <c r="T152" s="124" t="s">
        <v>1032</v>
      </c>
      <c r="U152" s="95" t="s">
        <v>1221</v>
      </c>
      <c r="V152" s="95" t="s">
        <v>1485</v>
      </c>
      <c r="W152" s="143"/>
      <c r="X152" s="97" t="s">
        <v>1345</v>
      </c>
      <c r="Y152" s="97" t="s">
        <v>632</v>
      </c>
      <c r="Z152" s="169"/>
      <c r="AA152" s="179"/>
      <c r="AB152" s="178"/>
      <c r="AC152" s="151"/>
      <c r="AD152" s="151"/>
      <c r="AE152" s="151"/>
      <c r="AF152" s="151"/>
      <c r="AG152" s="151"/>
      <c r="AH152" s="260" t="s">
        <v>841</v>
      </c>
      <c r="AI152" s="159"/>
      <c r="AJ152" s="261"/>
    </row>
    <row r="153" spans="1:36" ht="12" hidden="1" customHeight="1">
      <c r="A153" s="97" t="s">
        <v>189</v>
      </c>
      <c r="B153" s="80" t="s">
        <v>1480</v>
      </c>
      <c r="C153" s="81" t="s">
        <v>16</v>
      </c>
      <c r="D153" s="81" t="s">
        <v>45</v>
      </c>
      <c r="E153" s="81" t="s">
        <v>18</v>
      </c>
      <c r="F153" s="95" t="s">
        <v>42</v>
      </c>
      <c r="G153" s="81" t="s">
        <v>1486</v>
      </c>
      <c r="H153" s="76" t="s">
        <v>1487</v>
      </c>
      <c r="I153" s="87" t="s">
        <v>1488</v>
      </c>
      <c r="J153" s="49"/>
      <c r="K153" s="95" t="s">
        <v>1373</v>
      </c>
      <c r="L153" s="38" t="s">
        <v>905</v>
      </c>
      <c r="M153" s="258" t="s">
        <v>43</v>
      </c>
      <c r="N153" s="259"/>
      <c r="O153" s="155"/>
      <c r="P153" s="155"/>
      <c r="Q153" s="99" t="s">
        <v>622</v>
      </c>
      <c r="R153" s="97" t="s">
        <v>1483</v>
      </c>
      <c r="S153" s="97" t="s">
        <v>1484</v>
      </c>
      <c r="T153" s="124" t="s">
        <v>1032</v>
      </c>
      <c r="U153" s="95" t="s">
        <v>1221</v>
      </c>
      <c r="V153" s="95" t="s">
        <v>1485</v>
      </c>
      <c r="W153" s="143"/>
      <c r="X153" s="97" t="s">
        <v>1345</v>
      </c>
      <c r="Y153" s="97" t="s">
        <v>632</v>
      </c>
      <c r="Z153" s="169"/>
      <c r="AA153" s="179"/>
      <c r="AB153" s="178"/>
      <c r="AC153" s="151"/>
      <c r="AD153" s="151"/>
      <c r="AE153" s="151"/>
      <c r="AF153" s="151"/>
      <c r="AG153" s="151"/>
      <c r="AH153" s="260" t="s">
        <v>841</v>
      </c>
      <c r="AI153" s="159"/>
      <c r="AJ153" s="261"/>
    </row>
    <row r="154" spans="1:36" ht="12" hidden="1" customHeight="1">
      <c r="A154" s="97" t="s">
        <v>1489</v>
      </c>
      <c r="B154" s="76" t="s">
        <v>1490</v>
      </c>
      <c r="C154" s="81" t="s">
        <v>16</v>
      </c>
      <c r="D154" s="81" t="s">
        <v>45</v>
      </c>
      <c r="E154" s="81" t="s">
        <v>18</v>
      </c>
      <c r="F154" s="95" t="s">
        <v>42</v>
      </c>
      <c r="G154" s="81" t="s">
        <v>400</v>
      </c>
      <c r="H154" s="76" t="s">
        <v>1491</v>
      </c>
      <c r="I154" s="244" t="s">
        <v>1492</v>
      </c>
      <c r="J154" s="49"/>
      <c r="K154" s="95" t="s">
        <v>1373</v>
      </c>
      <c r="L154" s="38" t="s">
        <v>905</v>
      </c>
      <c r="M154" s="258" t="s">
        <v>43</v>
      </c>
      <c r="N154" s="187"/>
      <c r="O154" s="155"/>
      <c r="P154" s="155"/>
      <c r="Q154" s="99" t="s">
        <v>622</v>
      </c>
      <c r="R154" s="97" t="s">
        <v>1483</v>
      </c>
      <c r="S154" s="97" t="s">
        <v>1484</v>
      </c>
      <c r="T154" s="124" t="s">
        <v>1343</v>
      </c>
      <c r="U154" s="95" t="s">
        <v>1221</v>
      </c>
      <c r="V154" s="95" t="s">
        <v>1485</v>
      </c>
      <c r="W154" s="143"/>
      <c r="X154" s="97" t="s">
        <v>1345</v>
      </c>
      <c r="Y154" s="97" t="s">
        <v>632</v>
      </c>
      <c r="Z154" s="169"/>
      <c r="AA154" s="179"/>
      <c r="AB154" s="178"/>
      <c r="AC154" s="151"/>
      <c r="AD154" s="151"/>
      <c r="AE154" s="151"/>
      <c r="AF154" s="151"/>
      <c r="AG154" s="151"/>
      <c r="AH154" s="260" t="s">
        <v>841</v>
      </c>
      <c r="AI154" s="159"/>
      <c r="AJ154" s="261"/>
    </row>
    <row r="155" spans="1:36" ht="12" hidden="1" customHeight="1">
      <c r="A155" s="97" t="s">
        <v>191</v>
      </c>
      <c r="B155" s="76" t="s">
        <v>1493</v>
      </c>
      <c r="C155" s="81" t="s">
        <v>16</v>
      </c>
      <c r="D155" s="81" t="s">
        <v>45</v>
      </c>
      <c r="E155" s="81" t="s">
        <v>18</v>
      </c>
      <c r="F155" s="95" t="s">
        <v>42</v>
      </c>
      <c r="G155" s="81" t="s">
        <v>401</v>
      </c>
      <c r="H155" s="210" t="s">
        <v>1494</v>
      </c>
      <c r="I155" s="87" t="s">
        <v>1495</v>
      </c>
      <c r="J155" s="49"/>
      <c r="K155" s="95" t="s">
        <v>1373</v>
      </c>
      <c r="L155" s="38" t="s">
        <v>905</v>
      </c>
      <c r="M155" s="258" t="s">
        <v>43</v>
      </c>
      <c r="N155" s="259"/>
      <c r="O155" s="155"/>
      <c r="P155" s="155"/>
      <c r="Q155" s="99" t="s">
        <v>622</v>
      </c>
      <c r="R155" s="97" t="s">
        <v>1483</v>
      </c>
      <c r="S155" s="97" t="s">
        <v>1484</v>
      </c>
      <c r="T155" s="124" t="s">
        <v>1032</v>
      </c>
      <c r="U155" s="95" t="s">
        <v>1221</v>
      </c>
      <c r="V155" s="95" t="s">
        <v>1485</v>
      </c>
      <c r="W155" s="143"/>
      <c r="X155" s="97" t="s">
        <v>1345</v>
      </c>
      <c r="Y155" s="97" t="s">
        <v>632</v>
      </c>
      <c r="Z155" s="169"/>
      <c r="AA155" s="179"/>
      <c r="AB155" s="178"/>
      <c r="AC155" s="151"/>
      <c r="AD155" s="151"/>
      <c r="AE155" s="151"/>
      <c r="AF155" s="151"/>
      <c r="AG155" s="151"/>
      <c r="AH155" s="260" t="s">
        <v>841</v>
      </c>
      <c r="AI155" s="159"/>
      <c r="AJ155" s="261"/>
    </row>
    <row r="156" spans="1:36" ht="12" hidden="1" customHeight="1">
      <c r="A156" s="97" t="s">
        <v>192</v>
      </c>
      <c r="B156" s="76" t="s">
        <v>1496</v>
      </c>
      <c r="C156" s="81" t="s">
        <v>16</v>
      </c>
      <c r="D156" s="81" t="s">
        <v>45</v>
      </c>
      <c r="E156" s="81" t="s">
        <v>18</v>
      </c>
      <c r="F156" s="95" t="s">
        <v>42</v>
      </c>
      <c r="G156" s="81" t="s">
        <v>402</v>
      </c>
      <c r="H156" s="76" t="s">
        <v>1496</v>
      </c>
      <c r="I156" s="87" t="s">
        <v>1497</v>
      </c>
      <c r="J156" s="49"/>
      <c r="K156" s="95" t="s">
        <v>1373</v>
      </c>
      <c r="L156" s="38" t="s">
        <v>905</v>
      </c>
      <c r="M156" s="258" t="s">
        <v>43</v>
      </c>
      <c r="N156" s="259"/>
      <c r="O156" s="155"/>
      <c r="P156" s="155"/>
      <c r="Q156" s="99" t="s">
        <v>622</v>
      </c>
      <c r="R156" s="97" t="s">
        <v>1483</v>
      </c>
      <c r="S156" s="97" t="s">
        <v>1484</v>
      </c>
      <c r="T156" s="124" t="s">
        <v>1032</v>
      </c>
      <c r="U156" s="95" t="s">
        <v>1221</v>
      </c>
      <c r="V156" s="95" t="s">
        <v>1485</v>
      </c>
      <c r="W156" s="143"/>
      <c r="X156" s="97" t="s">
        <v>1345</v>
      </c>
      <c r="Y156" s="97" t="s">
        <v>632</v>
      </c>
      <c r="Z156" s="169"/>
      <c r="AA156" s="179"/>
      <c r="AB156" s="178"/>
      <c r="AC156" s="151"/>
      <c r="AD156" s="151"/>
      <c r="AE156" s="151"/>
      <c r="AF156" s="151"/>
      <c r="AG156" s="151"/>
      <c r="AH156" s="260" t="s">
        <v>841</v>
      </c>
      <c r="AI156" s="159"/>
      <c r="AJ156" s="261"/>
    </row>
    <row r="157" spans="1:36" ht="12" hidden="1" customHeight="1">
      <c r="A157" s="97" t="s">
        <v>193</v>
      </c>
      <c r="B157" s="76" t="s">
        <v>1498</v>
      </c>
      <c r="C157" s="81" t="s">
        <v>16</v>
      </c>
      <c r="D157" s="81" t="s">
        <v>45</v>
      </c>
      <c r="E157" s="81" t="s">
        <v>18</v>
      </c>
      <c r="F157" s="95" t="s">
        <v>42</v>
      </c>
      <c r="G157" s="81" t="s">
        <v>403</v>
      </c>
      <c r="H157" s="76" t="s">
        <v>1499</v>
      </c>
      <c r="I157" s="87" t="s">
        <v>1500</v>
      </c>
      <c r="J157" s="49"/>
      <c r="K157" s="95" t="s">
        <v>1373</v>
      </c>
      <c r="L157" s="38" t="s">
        <v>905</v>
      </c>
      <c r="M157" s="258" t="s">
        <v>43</v>
      </c>
      <c r="N157" s="259"/>
      <c r="O157" s="155"/>
      <c r="P157" s="155"/>
      <c r="Q157" s="99" t="s">
        <v>622</v>
      </c>
      <c r="R157" s="97" t="s">
        <v>1483</v>
      </c>
      <c r="S157" s="97" t="s">
        <v>1484</v>
      </c>
      <c r="T157" s="124" t="s">
        <v>518</v>
      </c>
      <c r="U157" s="95" t="s">
        <v>1221</v>
      </c>
      <c r="V157" s="95" t="s">
        <v>1485</v>
      </c>
      <c r="W157" s="143"/>
      <c r="X157" s="97" t="s">
        <v>1345</v>
      </c>
      <c r="Y157" s="97" t="s">
        <v>632</v>
      </c>
      <c r="Z157" s="169"/>
      <c r="AA157" s="179"/>
      <c r="AB157" s="178"/>
      <c r="AC157" s="151"/>
      <c r="AD157" s="151"/>
      <c r="AE157" s="151"/>
      <c r="AF157" s="151"/>
      <c r="AG157" s="151"/>
      <c r="AH157" s="260" t="s">
        <v>841</v>
      </c>
      <c r="AI157" s="159"/>
      <c r="AJ157" s="261"/>
    </row>
    <row r="158" spans="1:36" ht="12" hidden="1" customHeight="1">
      <c r="A158" s="97" t="s">
        <v>194</v>
      </c>
      <c r="B158" s="76" t="s">
        <v>1501</v>
      </c>
      <c r="C158" s="81" t="s">
        <v>16</v>
      </c>
      <c r="D158" s="81" t="s">
        <v>45</v>
      </c>
      <c r="E158" s="81" t="s">
        <v>18</v>
      </c>
      <c r="F158" s="95" t="s">
        <v>42</v>
      </c>
      <c r="G158" s="81" t="s">
        <v>404</v>
      </c>
      <c r="H158" s="76" t="s">
        <v>1501</v>
      </c>
      <c r="I158" s="75" t="s">
        <v>1502</v>
      </c>
      <c r="J158" s="49"/>
      <c r="K158" s="95" t="s">
        <v>1373</v>
      </c>
      <c r="L158" s="38" t="s">
        <v>905</v>
      </c>
      <c r="M158" s="258" t="s">
        <v>43</v>
      </c>
      <c r="N158" s="259"/>
      <c r="O158" s="155"/>
      <c r="P158" s="155"/>
      <c r="Q158" s="99" t="s">
        <v>622</v>
      </c>
      <c r="R158" s="97" t="s">
        <v>1483</v>
      </c>
      <c r="S158" s="97" t="s">
        <v>1484</v>
      </c>
      <c r="T158" s="124" t="s">
        <v>518</v>
      </c>
      <c r="U158" s="95" t="s">
        <v>1221</v>
      </c>
      <c r="V158" s="95" t="s">
        <v>1485</v>
      </c>
      <c r="W158" s="143"/>
      <c r="X158" s="97" t="s">
        <v>1345</v>
      </c>
      <c r="Y158" s="97" t="s">
        <v>632</v>
      </c>
      <c r="Z158" s="169"/>
      <c r="AA158" s="179"/>
      <c r="AB158" s="178"/>
      <c r="AC158" s="151"/>
      <c r="AD158" s="151"/>
      <c r="AE158" s="151"/>
      <c r="AF158" s="151"/>
      <c r="AG158" s="151"/>
      <c r="AH158" s="260" t="s">
        <v>841</v>
      </c>
      <c r="AI158" s="159"/>
      <c r="AJ158" s="261"/>
    </row>
    <row r="159" spans="1:36" ht="12" hidden="1" customHeight="1">
      <c r="A159" s="97" t="s">
        <v>195</v>
      </c>
      <c r="B159" s="76" t="s">
        <v>1503</v>
      </c>
      <c r="C159" s="81" t="s">
        <v>16</v>
      </c>
      <c r="D159" s="81" t="s">
        <v>45</v>
      </c>
      <c r="E159" s="81" t="s">
        <v>18</v>
      </c>
      <c r="F159" s="95" t="s">
        <v>42</v>
      </c>
      <c r="G159" s="81" t="s">
        <v>1504</v>
      </c>
      <c r="H159" s="76" t="s">
        <v>1503</v>
      </c>
      <c r="I159" s="87" t="s">
        <v>1505</v>
      </c>
      <c r="J159" s="49"/>
      <c r="K159" s="95" t="s">
        <v>1373</v>
      </c>
      <c r="L159" s="38" t="s">
        <v>905</v>
      </c>
      <c r="M159" s="258" t="s">
        <v>43</v>
      </c>
      <c r="N159" s="259"/>
      <c r="O159" s="155"/>
      <c r="P159" s="155"/>
      <c r="Q159" s="99" t="s">
        <v>622</v>
      </c>
      <c r="R159" s="97" t="s">
        <v>1483</v>
      </c>
      <c r="S159" s="97" t="s">
        <v>1484</v>
      </c>
      <c r="T159" s="124" t="s">
        <v>518</v>
      </c>
      <c r="U159" s="95" t="s">
        <v>1221</v>
      </c>
      <c r="V159" s="95" t="s">
        <v>1485</v>
      </c>
      <c r="W159" s="143"/>
      <c r="X159" s="97" t="s">
        <v>1345</v>
      </c>
      <c r="Y159" s="97" t="s">
        <v>632</v>
      </c>
      <c r="Z159" s="169"/>
      <c r="AA159" s="179"/>
      <c r="AB159" s="178"/>
      <c r="AC159" s="151"/>
      <c r="AD159" s="151"/>
      <c r="AE159" s="151"/>
      <c r="AF159" s="151"/>
      <c r="AG159" s="151"/>
      <c r="AH159" s="260" t="s">
        <v>841</v>
      </c>
      <c r="AI159" s="159"/>
      <c r="AJ159" s="261"/>
    </row>
    <row r="160" spans="1:36" ht="12" hidden="1" customHeight="1">
      <c r="A160" s="97" t="s">
        <v>1506</v>
      </c>
      <c r="B160" s="74" t="s">
        <v>291</v>
      </c>
      <c r="C160" s="81" t="s">
        <v>16</v>
      </c>
      <c r="D160" s="81" t="s">
        <v>45</v>
      </c>
      <c r="E160" s="81" t="s">
        <v>18</v>
      </c>
      <c r="F160" s="95" t="s">
        <v>42</v>
      </c>
      <c r="G160" s="81" t="s">
        <v>405</v>
      </c>
      <c r="H160" s="75" t="s">
        <v>291</v>
      </c>
      <c r="I160" s="90" t="s">
        <v>1507</v>
      </c>
      <c r="J160" s="49"/>
      <c r="K160" s="81" t="s">
        <v>483</v>
      </c>
      <c r="L160" s="38" t="s">
        <v>905</v>
      </c>
      <c r="M160" s="258" t="s">
        <v>912</v>
      </c>
      <c r="N160" s="259"/>
      <c r="O160" s="155"/>
      <c r="P160" s="155"/>
      <c r="Q160" s="78" t="s">
        <v>1508</v>
      </c>
      <c r="R160" s="97" t="s">
        <v>1461</v>
      </c>
      <c r="S160" s="81" t="s">
        <v>1509</v>
      </c>
      <c r="T160" s="124" t="s">
        <v>518</v>
      </c>
      <c r="U160" s="95" t="s">
        <v>605</v>
      </c>
      <c r="V160" s="95" t="s">
        <v>623</v>
      </c>
      <c r="W160" s="143"/>
      <c r="X160" s="97" t="s">
        <v>1174</v>
      </c>
      <c r="Y160" s="97" t="s">
        <v>658</v>
      </c>
      <c r="Z160" s="169"/>
      <c r="AA160" s="179"/>
      <c r="AB160" s="178"/>
      <c r="AC160" s="151"/>
      <c r="AD160" s="151"/>
      <c r="AE160" s="151"/>
      <c r="AF160" s="151"/>
      <c r="AG160" s="151"/>
      <c r="AH160" s="260" t="s">
        <v>841</v>
      </c>
      <c r="AI160" s="159"/>
      <c r="AJ160" s="261"/>
    </row>
    <row r="161" spans="1:36" ht="12" hidden="1" customHeight="1">
      <c r="A161" s="97" t="s">
        <v>1510</v>
      </c>
      <c r="B161" s="74" t="s">
        <v>297</v>
      </c>
      <c r="C161" s="81" t="s">
        <v>16</v>
      </c>
      <c r="D161" s="81" t="s">
        <v>45</v>
      </c>
      <c r="E161" s="81" t="s">
        <v>18</v>
      </c>
      <c r="F161" s="95" t="s">
        <v>939</v>
      </c>
      <c r="G161" s="81" t="s">
        <v>414</v>
      </c>
      <c r="H161" s="75" t="s">
        <v>1511</v>
      </c>
      <c r="I161" s="90" t="s">
        <v>1512</v>
      </c>
      <c r="J161" s="49"/>
      <c r="K161" s="81" t="s">
        <v>483</v>
      </c>
      <c r="L161" s="38" t="s">
        <v>905</v>
      </c>
      <c r="M161" s="258" t="s">
        <v>912</v>
      </c>
      <c r="N161" s="259"/>
      <c r="O161" s="155"/>
      <c r="P161" s="155"/>
      <c r="Q161" s="78" t="s">
        <v>1513</v>
      </c>
      <c r="R161" s="97" t="s">
        <v>1461</v>
      </c>
      <c r="S161" s="81" t="s">
        <v>1509</v>
      </c>
      <c r="T161" s="124" t="s">
        <v>1032</v>
      </c>
      <c r="U161" s="95" t="s">
        <v>605</v>
      </c>
      <c r="V161" s="95" t="s">
        <v>623</v>
      </c>
      <c r="W161" s="143"/>
      <c r="X161" s="97" t="s">
        <v>1174</v>
      </c>
      <c r="Y161" s="97" t="s">
        <v>658</v>
      </c>
      <c r="Z161" s="169"/>
      <c r="AA161" s="179"/>
      <c r="AB161" s="178"/>
      <c r="AC161" s="151"/>
      <c r="AD161" s="151"/>
      <c r="AE161" s="151"/>
      <c r="AF161" s="151"/>
      <c r="AG161" s="151"/>
      <c r="AH161" s="260" t="s">
        <v>841</v>
      </c>
      <c r="AI161" s="159"/>
      <c r="AJ161" s="261"/>
    </row>
    <row r="162" spans="1:36" ht="12" hidden="1" customHeight="1">
      <c r="A162" s="170" t="s">
        <v>1514</v>
      </c>
      <c r="B162" s="224" t="s">
        <v>1515</v>
      </c>
      <c r="C162" s="83" t="s">
        <v>16</v>
      </c>
      <c r="D162" s="83" t="s">
        <v>45</v>
      </c>
      <c r="E162" s="83" t="s">
        <v>19</v>
      </c>
      <c r="F162" s="170" t="s">
        <v>939</v>
      </c>
      <c r="G162" s="83" t="s">
        <v>467</v>
      </c>
      <c r="H162" s="92" t="s">
        <v>468</v>
      </c>
      <c r="I162" s="227" t="s">
        <v>511</v>
      </c>
      <c r="J162" s="49"/>
      <c r="K162" s="83" t="s">
        <v>483</v>
      </c>
      <c r="L162" s="48" t="s">
        <v>905</v>
      </c>
      <c r="M162" s="264" t="s">
        <v>44</v>
      </c>
      <c r="N162" s="267" t="s">
        <v>1516</v>
      </c>
      <c r="O162" s="155"/>
      <c r="P162" s="155"/>
      <c r="Q162" s="225" t="s">
        <v>1513</v>
      </c>
      <c r="R162" s="170" t="s">
        <v>1461</v>
      </c>
      <c r="S162" s="83" t="s">
        <v>1509</v>
      </c>
      <c r="T162" s="124" t="s">
        <v>518</v>
      </c>
      <c r="U162" s="156" t="s">
        <v>518</v>
      </c>
      <c r="V162" s="159"/>
      <c r="W162" s="143"/>
      <c r="X162" s="97" t="s">
        <v>1174</v>
      </c>
      <c r="Y162" s="97" t="s">
        <v>633</v>
      </c>
      <c r="Z162" s="169"/>
      <c r="AA162" s="179"/>
      <c r="AB162" s="178"/>
      <c r="AC162" s="151"/>
      <c r="AD162" s="151"/>
      <c r="AE162" s="151"/>
      <c r="AF162" s="151"/>
      <c r="AG162" s="151"/>
      <c r="AH162" s="260" t="s">
        <v>841</v>
      </c>
      <c r="AI162" s="159" t="s">
        <v>965</v>
      </c>
      <c r="AJ162" s="261"/>
    </row>
    <row r="163" spans="1:36" ht="12" hidden="1" customHeight="1">
      <c r="A163" s="97" t="s">
        <v>1517</v>
      </c>
      <c r="B163" s="76" t="s">
        <v>1518</v>
      </c>
      <c r="C163" s="81" t="s">
        <v>16</v>
      </c>
      <c r="D163" s="81" t="s">
        <v>45</v>
      </c>
      <c r="E163" s="81" t="s">
        <v>18</v>
      </c>
      <c r="F163" s="95" t="s">
        <v>939</v>
      </c>
      <c r="G163" s="81" t="s">
        <v>455</v>
      </c>
      <c r="H163" s="76" t="s">
        <v>1518</v>
      </c>
      <c r="I163" s="87" t="s">
        <v>1519</v>
      </c>
      <c r="J163" s="49"/>
      <c r="K163" s="95" t="s">
        <v>1520</v>
      </c>
      <c r="L163" s="38" t="s">
        <v>905</v>
      </c>
      <c r="M163" s="258" t="s">
        <v>912</v>
      </c>
      <c r="N163" s="259"/>
      <c r="O163" s="155"/>
      <c r="P163" s="155"/>
      <c r="Q163" s="78" t="s">
        <v>1513</v>
      </c>
      <c r="R163" s="97" t="s">
        <v>1461</v>
      </c>
      <c r="S163" s="97" t="s">
        <v>1509</v>
      </c>
      <c r="T163" s="124" t="s">
        <v>518</v>
      </c>
      <c r="U163" s="128" t="s">
        <v>605</v>
      </c>
      <c r="V163" s="162" t="s">
        <v>1521</v>
      </c>
      <c r="W163" s="143"/>
      <c r="X163" s="97" t="s">
        <v>1174</v>
      </c>
      <c r="Y163" s="97" t="s">
        <v>658</v>
      </c>
      <c r="Z163" s="169"/>
      <c r="AA163" s="179"/>
      <c r="AB163" s="178"/>
      <c r="AC163" s="151"/>
      <c r="AD163" s="151"/>
      <c r="AE163" s="151"/>
      <c r="AF163" s="151"/>
      <c r="AG163" s="151"/>
      <c r="AH163" s="260" t="s">
        <v>841</v>
      </c>
      <c r="AI163" s="159"/>
      <c r="AJ163" s="261"/>
    </row>
    <row r="164" spans="1:36" ht="12" hidden="1" customHeight="1">
      <c r="A164" s="97" t="s">
        <v>204</v>
      </c>
      <c r="B164" s="74" t="s">
        <v>297</v>
      </c>
      <c r="C164" s="81" t="s">
        <v>16</v>
      </c>
      <c r="D164" s="81" t="s">
        <v>45</v>
      </c>
      <c r="E164" s="81" t="s">
        <v>18</v>
      </c>
      <c r="F164" s="95" t="s">
        <v>939</v>
      </c>
      <c r="G164" s="81" t="s">
        <v>1522</v>
      </c>
      <c r="H164" s="75" t="s">
        <v>1523</v>
      </c>
      <c r="I164" s="90" t="s">
        <v>1524</v>
      </c>
      <c r="J164" s="49"/>
      <c r="K164" s="81" t="s">
        <v>483</v>
      </c>
      <c r="L164" s="38" t="s">
        <v>905</v>
      </c>
      <c r="M164" s="258" t="s">
        <v>912</v>
      </c>
      <c r="N164" s="259"/>
      <c r="O164" s="155"/>
      <c r="P164" s="155"/>
      <c r="Q164" s="78" t="s">
        <v>1513</v>
      </c>
      <c r="R164" s="97" t="s">
        <v>1461</v>
      </c>
      <c r="S164" s="81" t="s">
        <v>1509</v>
      </c>
      <c r="T164" s="124" t="s">
        <v>518</v>
      </c>
      <c r="U164" s="128" t="s">
        <v>605</v>
      </c>
      <c r="V164" s="162" t="s">
        <v>1521</v>
      </c>
      <c r="W164" s="143"/>
      <c r="X164" s="97" t="s">
        <v>1378</v>
      </c>
      <c r="Y164" s="97" t="s">
        <v>658</v>
      </c>
      <c r="Z164" s="169"/>
      <c r="AA164" s="179"/>
      <c r="AB164" s="178"/>
      <c r="AC164" s="151"/>
      <c r="AD164" s="151"/>
      <c r="AE164" s="151"/>
      <c r="AF164" s="151"/>
      <c r="AG164" s="151"/>
      <c r="AH164" s="260" t="s">
        <v>841</v>
      </c>
      <c r="AI164" s="159"/>
      <c r="AJ164" s="261"/>
    </row>
    <row r="165" spans="1:36" ht="12" hidden="1" customHeight="1">
      <c r="A165" s="97" t="s">
        <v>204</v>
      </c>
      <c r="B165" s="74" t="s">
        <v>297</v>
      </c>
      <c r="C165" s="81" t="s">
        <v>16</v>
      </c>
      <c r="D165" s="81" t="s">
        <v>45</v>
      </c>
      <c r="E165" s="81" t="s">
        <v>18</v>
      </c>
      <c r="F165" s="95" t="s">
        <v>939</v>
      </c>
      <c r="G165" s="81" t="s">
        <v>1525</v>
      </c>
      <c r="H165" s="75" t="s">
        <v>297</v>
      </c>
      <c r="I165" s="90" t="s">
        <v>1526</v>
      </c>
      <c r="J165" s="49"/>
      <c r="K165" s="81" t="s">
        <v>483</v>
      </c>
      <c r="L165" s="38" t="s">
        <v>905</v>
      </c>
      <c r="M165" s="258" t="s">
        <v>912</v>
      </c>
      <c r="N165" s="259"/>
      <c r="O165" s="155"/>
      <c r="P165" s="155"/>
      <c r="Q165" s="78" t="s">
        <v>1513</v>
      </c>
      <c r="R165" s="97" t="s">
        <v>1461</v>
      </c>
      <c r="S165" s="81" t="s">
        <v>1509</v>
      </c>
      <c r="T165" s="124" t="s">
        <v>518</v>
      </c>
      <c r="U165" s="128" t="s">
        <v>605</v>
      </c>
      <c r="V165" s="162" t="s">
        <v>1521</v>
      </c>
      <c r="W165" s="143"/>
      <c r="X165" s="97" t="s">
        <v>1378</v>
      </c>
      <c r="Y165" s="97" t="s">
        <v>658</v>
      </c>
      <c r="Z165" s="169"/>
      <c r="AA165" s="179"/>
      <c r="AB165" s="178"/>
      <c r="AC165" s="151"/>
      <c r="AD165" s="151"/>
      <c r="AE165" s="151"/>
      <c r="AF165" s="151"/>
      <c r="AG165" s="151"/>
      <c r="AH165" s="260" t="s">
        <v>841</v>
      </c>
      <c r="AI165" s="159"/>
      <c r="AJ165" s="261"/>
    </row>
    <row r="166" spans="1:36" ht="12" hidden="1" customHeight="1">
      <c r="A166" s="97" t="s">
        <v>199</v>
      </c>
      <c r="B166" s="78" t="s">
        <v>1527</v>
      </c>
      <c r="C166" s="81" t="s">
        <v>16</v>
      </c>
      <c r="D166" s="81" t="s">
        <v>45</v>
      </c>
      <c r="E166" s="81" t="s">
        <v>18</v>
      </c>
      <c r="F166" s="95" t="s">
        <v>42</v>
      </c>
      <c r="G166" s="97" t="s">
        <v>408</v>
      </c>
      <c r="H166" s="75" t="s">
        <v>1528</v>
      </c>
      <c r="I166" s="90" t="s">
        <v>1529</v>
      </c>
      <c r="J166" s="49"/>
      <c r="K166" s="81" t="s">
        <v>507</v>
      </c>
      <c r="L166" s="38" t="s">
        <v>905</v>
      </c>
      <c r="M166" s="258" t="s">
        <v>43</v>
      </c>
      <c r="N166" s="259" t="s">
        <v>1530</v>
      </c>
      <c r="O166" s="155"/>
      <c r="P166" s="155"/>
      <c r="Q166" s="78" t="s">
        <v>1531</v>
      </c>
      <c r="R166" s="81" t="s">
        <v>1532</v>
      </c>
      <c r="S166" s="81" t="s">
        <v>1533</v>
      </c>
      <c r="T166" s="124" t="s">
        <v>518</v>
      </c>
      <c r="U166" s="156" t="s">
        <v>1032</v>
      </c>
      <c r="V166" s="159"/>
      <c r="W166" s="143"/>
      <c r="X166" s="97" t="s">
        <v>1534</v>
      </c>
      <c r="Y166" s="97" t="s">
        <v>656</v>
      </c>
      <c r="Z166" s="169"/>
      <c r="AA166" s="179"/>
      <c r="AB166" s="178"/>
      <c r="AC166" s="151"/>
      <c r="AD166" s="151"/>
      <c r="AE166" s="151"/>
      <c r="AF166" s="151"/>
      <c r="AG166" s="151"/>
      <c r="AH166" s="260" t="s">
        <v>841</v>
      </c>
      <c r="AI166" s="159"/>
      <c r="AJ166" s="261"/>
    </row>
    <row r="167" spans="1:36" ht="12" hidden="1" customHeight="1">
      <c r="A167" s="97" t="s">
        <v>199</v>
      </c>
      <c r="B167" s="78" t="s">
        <v>1527</v>
      </c>
      <c r="C167" s="81" t="s">
        <v>16</v>
      </c>
      <c r="D167" s="81" t="s">
        <v>45</v>
      </c>
      <c r="E167" s="81" t="s">
        <v>18</v>
      </c>
      <c r="F167" s="95" t="s">
        <v>42</v>
      </c>
      <c r="G167" s="97" t="s">
        <v>409</v>
      </c>
      <c r="H167" s="85" t="s">
        <v>1535</v>
      </c>
      <c r="I167" s="90" t="s">
        <v>1536</v>
      </c>
      <c r="J167" s="49"/>
      <c r="K167" s="81" t="s">
        <v>507</v>
      </c>
      <c r="L167" s="38" t="s">
        <v>905</v>
      </c>
      <c r="M167" s="258" t="s">
        <v>505</v>
      </c>
      <c r="N167" s="259" t="s">
        <v>1472</v>
      </c>
      <c r="O167" s="155"/>
      <c r="P167" s="155"/>
      <c r="Q167" s="78" t="s">
        <v>1531</v>
      </c>
      <c r="R167" s="81" t="s">
        <v>1532</v>
      </c>
      <c r="S167" s="81" t="s">
        <v>1533</v>
      </c>
      <c r="T167" s="124" t="s">
        <v>518</v>
      </c>
      <c r="U167" s="156" t="s">
        <v>1032</v>
      </c>
      <c r="V167" s="159"/>
      <c r="W167" s="143"/>
      <c r="X167" s="97" t="s">
        <v>1537</v>
      </c>
      <c r="Y167" s="97" t="s">
        <v>656</v>
      </c>
      <c r="Z167" s="169"/>
      <c r="AA167" s="179"/>
      <c r="AB167" s="178"/>
      <c r="AC167" s="151"/>
      <c r="AD167" s="151"/>
      <c r="AE167" s="151"/>
      <c r="AF167" s="151"/>
      <c r="AG167" s="151"/>
      <c r="AH167" s="260" t="s">
        <v>841</v>
      </c>
      <c r="AI167" s="159"/>
      <c r="AJ167" s="263">
        <v>44320</v>
      </c>
    </row>
    <row r="168" spans="1:36" ht="12" hidden="1" customHeight="1">
      <c r="A168" s="97" t="s">
        <v>205</v>
      </c>
      <c r="B168" s="78" t="s">
        <v>1538</v>
      </c>
      <c r="C168" s="81" t="s">
        <v>16</v>
      </c>
      <c r="D168" s="81" t="s">
        <v>45</v>
      </c>
      <c r="E168" s="81" t="s">
        <v>18</v>
      </c>
      <c r="F168" s="95" t="s">
        <v>939</v>
      </c>
      <c r="G168" s="97" t="s">
        <v>1539</v>
      </c>
      <c r="H168" s="85" t="s">
        <v>1540</v>
      </c>
      <c r="I168" s="90" t="s">
        <v>1541</v>
      </c>
      <c r="J168" s="49"/>
      <c r="K168" s="81" t="s">
        <v>1542</v>
      </c>
      <c r="L168" s="38" t="s">
        <v>905</v>
      </c>
      <c r="M168" s="258" t="s">
        <v>505</v>
      </c>
      <c r="N168" s="259" t="s">
        <v>1543</v>
      </c>
      <c r="O168" s="155"/>
      <c r="P168" s="155"/>
      <c r="Q168" s="78" t="s">
        <v>1544</v>
      </c>
      <c r="R168" s="81" t="s">
        <v>1532</v>
      </c>
      <c r="S168" s="81" t="s">
        <v>1533</v>
      </c>
      <c r="T168" s="124" t="s">
        <v>518</v>
      </c>
      <c r="U168" s="126" t="s">
        <v>637</v>
      </c>
      <c r="V168" s="159" t="s">
        <v>1545</v>
      </c>
      <c r="W168" s="143"/>
      <c r="X168" s="97" t="s">
        <v>1537</v>
      </c>
      <c r="Y168" s="97" t="s">
        <v>656</v>
      </c>
      <c r="Z168" s="174"/>
      <c r="AA168" s="179"/>
      <c r="AB168" s="178"/>
      <c r="AC168" s="151"/>
      <c r="AD168" s="151"/>
      <c r="AE168" s="151"/>
      <c r="AF168" s="151"/>
      <c r="AG168" s="151"/>
      <c r="AH168" s="260" t="s">
        <v>841</v>
      </c>
      <c r="AI168" s="159"/>
      <c r="AJ168" s="263">
        <v>44320</v>
      </c>
    </row>
    <row r="169" spans="1:36" ht="12" hidden="1" customHeight="1">
      <c r="A169" s="97" t="s">
        <v>1546</v>
      </c>
      <c r="B169" s="78" t="s">
        <v>1547</v>
      </c>
      <c r="C169" s="81" t="s">
        <v>16</v>
      </c>
      <c r="D169" s="81" t="s">
        <v>45</v>
      </c>
      <c r="E169" s="81" t="s">
        <v>18</v>
      </c>
      <c r="F169" s="95" t="s">
        <v>939</v>
      </c>
      <c r="G169" s="97" t="s">
        <v>1548</v>
      </c>
      <c r="H169" s="85" t="s">
        <v>1549</v>
      </c>
      <c r="I169" s="90" t="s">
        <v>1550</v>
      </c>
      <c r="J169" s="49"/>
      <c r="K169" s="81" t="s">
        <v>1542</v>
      </c>
      <c r="L169" s="38" t="s">
        <v>905</v>
      </c>
      <c r="M169" s="258" t="s">
        <v>43</v>
      </c>
      <c r="N169" s="259"/>
      <c r="O169" s="155"/>
      <c r="P169" s="155"/>
      <c r="Q169" s="78" t="s">
        <v>1551</v>
      </c>
      <c r="R169" s="81" t="s">
        <v>1532</v>
      </c>
      <c r="S169" s="81" t="s">
        <v>1533</v>
      </c>
      <c r="T169" s="124" t="s">
        <v>1032</v>
      </c>
      <c r="U169" s="128" t="s">
        <v>1032</v>
      </c>
      <c r="V169" s="159"/>
      <c r="W169" s="143"/>
      <c r="X169" s="97" t="s">
        <v>1537</v>
      </c>
      <c r="Y169" s="97" t="s">
        <v>657</v>
      </c>
      <c r="Z169" s="169"/>
      <c r="AA169" s="179"/>
      <c r="AB169" s="178"/>
      <c r="AC169" s="151"/>
      <c r="AD169" s="151"/>
      <c r="AE169" s="151"/>
      <c r="AF169" s="151"/>
      <c r="AG169" s="151"/>
      <c r="AH169" s="260" t="s">
        <v>841</v>
      </c>
      <c r="AI169" s="159"/>
      <c r="AJ169" s="261"/>
    </row>
    <row r="170" spans="1:36" ht="12" hidden="1" customHeight="1">
      <c r="A170" s="97" t="s">
        <v>206</v>
      </c>
      <c r="B170" s="78" t="s">
        <v>1552</v>
      </c>
      <c r="C170" s="81" t="s">
        <v>16</v>
      </c>
      <c r="D170" s="81" t="s">
        <v>45</v>
      </c>
      <c r="E170" s="81" t="s">
        <v>18</v>
      </c>
      <c r="F170" s="95" t="s">
        <v>939</v>
      </c>
      <c r="G170" s="97" t="s">
        <v>1553</v>
      </c>
      <c r="H170" s="78" t="s">
        <v>1552</v>
      </c>
      <c r="I170" s="90" t="s">
        <v>1554</v>
      </c>
      <c r="J170" s="49"/>
      <c r="K170" s="81" t="s">
        <v>1542</v>
      </c>
      <c r="L170" s="38" t="s">
        <v>905</v>
      </c>
      <c r="M170" s="258" t="s">
        <v>43</v>
      </c>
      <c r="N170" s="259"/>
      <c r="O170" s="155"/>
      <c r="P170" s="155"/>
      <c r="Q170" s="78" t="s">
        <v>1555</v>
      </c>
      <c r="R170" s="81" t="s">
        <v>1532</v>
      </c>
      <c r="S170" s="81" t="s">
        <v>1533</v>
      </c>
      <c r="T170" s="124" t="s">
        <v>518</v>
      </c>
      <c r="U170" s="156" t="s">
        <v>1032</v>
      </c>
      <c r="V170" s="159"/>
      <c r="W170" s="143"/>
      <c r="X170" s="97" t="s">
        <v>1537</v>
      </c>
      <c r="Y170" s="97" t="s">
        <v>656</v>
      </c>
      <c r="Z170" s="169"/>
      <c r="AA170" s="179"/>
      <c r="AB170" s="178"/>
      <c r="AC170" s="151"/>
      <c r="AD170" s="151"/>
      <c r="AE170" s="151"/>
      <c r="AF170" s="151"/>
      <c r="AG170" s="151"/>
      <c r="AH170" s="260" t="s">
        <v>841</v>
      </c>
      <c r="AI170" s="159"/>
      <c r="AJ170" s="261"/>
    </row>
    <row r="171" spans="1:36" ht="12" hidden="1" customHeight="1">
      <c r="A171" s="97" t="s">
        <v>1556</v>
      </c>
      <c r="B171" s="78" t="s">
        <v>1557</v>
      </c>
      <c r="C171" s="81" t="s">
        <v>1558</v>
      </c>
      <c r="D171" s="81" t="s">
        <v>45</v>
      </c>
      <c r="E171" s="81" t="s">
        <v>18</v>
      </c>
      <c r="F171" s="95" t="s">
        <v>939</v>
      </c>
      <c r="G171" s="97" t="s">
        <v>1559</v>
      </c>
      <c r="H171" s="78" t="s">
        <v>1557</v>
      </c>
      <c r="I171" s="90" t="s">
        <v>1560</v>
      </c>
      <c r="J171" s="49"/>
      <c r="K171" s="81" t="s">
        <v>1542</v>
      </c>
      <c r="L171" s="38" t="s">
        <v>905</v>
      </c>
      <c r="M171" s="258" t="s">
        <v>912</v>
      </c>
      <c r="N171" s="259"/>
      <c r="O171" s="155"/>
      <c r="P171" s="155"/>
      <c r="Q171" s="78" t="s">
        <v>1561</v>
      </c>
      <c r="R171" s="81" t="s">
        <v>1532</v>
      </c>
      <c r="S171" s="81" t="s">
        <v>1533</v>
      </c>
      <c r="T171" s="124" t="s">
        <v>518</v>
      </c>
      <c r="U171" s="130" t="s">
        <v>637</v>
      </c>
      <c r="V171" s="161" t="s">
        <v>1562</v>
      </c>
      <c r="W171" s="143"/>
      <c r="X171" s="97" t="s">
        <v>1534</v>
      </c>
      <c r="Y171" s="97" t="s">
        <v>656</v>
      </c>
      <c r="Z171" s="174"/>
      <c r="AA171" s="181"/>
      <c r="AB171" s="178"/>
      <c r="AC171" s="151"/>
      <c r="AD171" s="151"/>
      <c r="AE171" s="151"/>
      <c r="AF171" s="151"/>
      <c r="AG171" s="151"/>
      <c r="AH171" s="260" t="s">
        <v>841</v>
      </c>
      <c r="AI171" s="159"/>
      <c r="AJ171" s="261"/>
    </row>
    <row r="172" spans="1:36" ht="12" hidden="1" customHeight="1">
      <c r="A172" s="97" t="s">
        <v>1563</v>
      </c>
      <c r="B172" s="78" t="s">
        <v>1564</v>
      </c>
      <c r="C172" s="81" t="s">
        <v>1558</v>
      </c>
      <c r="D172" s="81" t="s">
        <v>45</v>
      </c>
      <c r="E172" s="81" t="s">
        <v>18</v>
      </c>
      <c r="F172" s="95" t="s">
        <v>939</v>
      </c>
      <c r="G172" s="97" t="s">
        <v>1565</v>
      </c>
      <c r="H172" s="85" t="s">
        <v>1564</v>
      </c>
      <c r="I172" s="90" t="s">
        <v>1566</v>
      </c>
      <c r="J172" s="49"/>
      <c r="K172" s="81" t="s">
        <v>1542</v>
      </c>
      <c r="L172" s="38" t="s">
        <v>905</v>
      </c>
      <c r="M172" s="258" t="s">
        <v>912</v>
      </c>
      <c r="N172" s="259" t="s">
        <v>1567</v>
      </c>
      <c r="O172" s="155"/>
      <c r="P172" s="155"/>
      <c r="Q172" s="78" t="s">
        <v>1561</v>
      </c>
      <c r="R172" s="81" t="s">
        <v>1532</v>
      </c>
      <c r="S172" s="81" t="s">
        <v>1533</v>
      </c>
      <c r="T172" s="124" t="s">
        <v>518</v>
      </c>
      <c r="U172" s="156" t="s">
        <v>1032</v>
      </c>
      <c r="V172" s="159"/>
      <c r="W172" s="143"/>
      <c r="X172" s="97" t="s">
        <v>1568</v>
      </c>
      <c r="Y172" s="97" t="s">
        <v>656</v>
      </c>
      <c r="Z172" s="169"/>
      <c r="AA172" s="180"/>
      <c r="AB172" s="178"/>
      <c r="AC172" s="151"/>
      <c r="AD172" s="151"/>
      <c r="AE172" s="151"/>
      <c r="AF172" s="151"/>
      <c r="AG172" s="151"/>
      <c r="AH172" s="260" t="s">
        <v>841</v>
      </c>
      <c r="AI172" s="159"/>
      <c r="AJ172" s="261"/>
    </row>
    <row r="173" spans="1:36" ht="12" hidden="1" customHeight="1">
      <c r="A173" s="97" t="s">
        <v>207</v>
      </c>
      <c r="B173" s="74" t="s">
        <v>298</v>
      </c>
      <c r="C173" s="81" t="s">
        <v>16</v>
      </c>
      <c r="D173" s="81" t="s">
        <v>45</v>
      </c>
      <c r="E173" s="81" t="s">
        <v>18</v>
      </c>
      <c r="F173" s="95" t="s">
        <v>42</v>
      </c>
      <c r="G173" s="81" t="s">
        <v>415</v>
      </c>
      <c r="H173" s="75" t="s">
        <v>1569</v>
      </c>
      <c r="I173" s="90" t="s">
        <v>1570</v>
      </c>
      <c r="J173" s="49"/>
      <c r="K173" s="81" t="s">
        <v>1571</v>
      </c>
      <c r="L173" s="38" t="s">
        <v>905</v>
      </c>
      <c r="M173" s="258" t="s">
        <v>43</v>
      </c>
      <c r="N173" s="259"/>
      <c r="O173" s="155"/>
      <c r="P173" s="155"/>
      <c r="Q173" s="78" t="s">
        <v>1572</v>
      </c>
      <c r="R173" s="97" t="s">
        <v>1375</v>
      </c>
      <c r="S173" s="81" t="s">
        <v>1376</v>
      </c>
      <c r="T173" s="124" t="s">
        <v>518</v>
      </c>
      <c r="U173" s="97" t="s">
        <v>604</v>
      </c>
      <c r="V173" s="97" t="s">
        <v>1573</v>
      </c>
      <c r="W173" s="143"/>
      <c r="X173" s="97" t="s">
        <v>1378</v>
      </c>
      <c r="Y173" s="97" t="s">
        <v>640</v>
      </c>
      <c r="Z173" s="169"/>
      <c r="AA173" s="180"/>
      <c r="AB173" s="178"/>
      <c r="AC173" s="151"/>
      <c r="AD173" s="151"/>
      <c r="AE173" s="151"/>
      <c r="AF173" s="151"/>
      <c r="AG173" s="151"/>
      <c r="AH173" s="260" t="s">
        <v>841</v>
      </c>
      <c r="AI173" s="159"/>
      <c r="AJ173" s="261"/>
    </row>
    <row r="174" spans="1:36" ht="12" hidden="1" customHeight="1">
      <c r="A174" s="97" t="s">
        <v>208</v>
      </c>
      <c r="B174" s="74" t="s">
        <v>299</v>
      </c>
      <c r="C174" s="81" t="s">
        <v>16</v>
      </c>
      <c r="D174" s="81" t="s">
        <v>45</v>
      </c>
      <c r="E174" s="81" t="s">
        <v>18</v>
      </c>
      <c r="F174" s="95" t="s">
        <v>42</v>
      </c>
      <c r="G174" s="81" t="s">
        <v>416</v>
      </c>
      <c r="H174" s="75" t="s">
        <v>1574</v>
      </c>
      <c r="I174" s="90" t="s">
        <v>1575</v>
      </c>
      <c r="J174" s="49"/>
      <c r="K174" s="81" t="s">
        <v>1571</v>
      </c>
      <c r="L174" s="38" t="s">
        <v>905</v>
      </c>
      <c r="M174" s="258" t="s">
        <v>505</v>
      </c>
      <c r="N174" s="259" t="s">
        <v>1576</v>
      </c>
      <c r="O174" s="155"/>
      <c r="P174" s="155"/>
      <c r="Q174" s="78" t="s">
        <v>1572</v>
      </c>
      <c r="R174" s="97" t="s">
        <v>1375</v>
      </c>
      <c r="S174" s="81" t="s">
        <v>1376</v>
      </c>
      <c r="T174" s="124" t="s">
        <v>518</v>
      </c>
      <c r="U174" s="97" t="s">
        <v>604</v>
      </c>
      <c r="V174" s="97" t="s">
        <v>1573</v>
      </c>
      <c r="W174" s="143"/>
      <c r="X174" s="161" t="s">
        <v>1174</v>
      </c>
      <c r="Y174" s="97" t="s">
        <v>640</v>
      </c>
      <c r="Z174" s="169"/>
      <c r="AA174" s="180"/>
      <c r="AB174" s="178"/>
      <c r="AC174" s="151"/>
      <c r="AD174" s="151"/>
      <c r="AE174" s="151"/>
      <c r="AF174" s="151"/>
      <c r="AG174" s="151"/>
      <c r="AH174" s="260" t="s">
        <v>841</v>
      </c>
      <c r="AI174" s="159"/>
      <c r="AJ174" s="263">
        <v>44347</v>
      </c>
    </row>
    <row r="175" spans="1:36" ht="12" hidden="1" customHeight="1">
      <c r="A175" s="97" t="s">
        <v>209</v>
      </c>
      <c r="B175" s="74" t="s">
        <v>300</v>
      </c>
      <c r="C175" s="81" t="s">
        <v>16</v>
      </c>
      <c r="D175" s="81" t="s">
        <v>45</v>
      </c>
      <c r="E175" s="81" t="s">
        <v>18</v>
      </c>
      <c r="F175" s="95" t="s">
        <v>42</v>
      </c>
      <c r="G175" s="81" t="s">
        <v>417</v>
      </c>
      <c r="H175" s="75" t="s">
        <v>1577</v>
      </c>
      <c r="I175" s="90" t="s">
        <v>1578</v>
      </c>
      <c r="J175" s="49"/>
      <c r="K175" s="81" t="s">
        <v>1571</v>
      </c>
      <c r="L175" s="38" t="s">
        <v>905</v>
      </c>
      <c r="M175" s="258" t="s">
        <v>43</v>
      </c>
      <c r="N175" s="259"/>
      <c r="O175" s="155"/>
      <c r="P175" s="155"/>
      <c r="Q175" s="78" t="s">
        <v>1572</v>
      </c>
      <c r="R175" s="97" t="s">
        <v>1375</v>
      </c>
      <c r="S175" s="81" t="s">
        <v>1376</v>
      </c>
      <c r="T175" s="124" t="s">
        <v>518</v>
      </c>
      <c r="U175" s="97" t="s">
        <v>604</v>
      </c>
      <c r="V175" s="97" t="s">
        <v>1573</v>
      </c>
      <c r="W175" s="143"/>
      <c r="X175" s="97" t="s">
        <v>1378</v>
      </c>
      <c r="Y175" s="97" t="s">
        <v>640</v>
      </c>
      <c r="Z175" s="169"/>
      <c r="AA175" s="180"/>
      <c r="AB175" s="178"/>
      <c r="AC175" s="151"/>
      <c r="AD175" s="151"/>
      <c r="AE175" s="151"/>
      <c r="AF175" s="151"/>
      <c r="AG175" s="151"/>
      <c r="AH175" s="260" t="s">
        <v>841</v>
      </c>
      <c r="AI175" s="159"/>
      <c r="AJ175" s="261"/>
    </row>
    <row r="176" spans="1:36" ht="12" hidden="1" customHeight="1">
      <c r="A176" s="97" t="s">
        <v>210</v>
      </c>
      <c r="B176" s="74" t="s">
        <v>301</v>
      </c>
      <c r="C176" s="81" t="s">
        <v>16</v>
      </c>
      <c r="D176" s="81" t="s">
        <v>45</v>
      </c>
      <c r="E176" s="81" t="s">
        <v>18</v>
      </c>
      <c r="F176" s="95" t="s">
        <v>42</v>
      </c>
      <c r="G176" s="81" t="s">
        <v>418</v>
      </c>
      <c r="H176" s="75" t="s">
        <v>1579</v>
      </c>
      <c r="I176" s="90" t="s">
        <v>1580</v>
      </c>
      <c r="J176" s="49"/>
      <c r="K176" s="81" t="s">
        <v>1571</v>
      </c>
      <c r="L176" s="38" t="s">
        <v>905</v>
      </c>
      <c r="M176" s="258" t="s">
        <v>43</v>
      </c>
      <c r="N176" s="259"/>
      <c r="O176" s="155"/>
      <c r="P176" s="155"/>
      <c r="Q176" s="78" t="s">
        <v>1572</v>
      </c>
      <c r="R176" s="97" t="s">
        <v>1375</v>
      </c>
      <c r="S176" s="81" t="s">
        <v>1376</v>
      </c>
      <c r="T176" s="124" t="s">
        <v>518</v>
      </c>
      <c r="U176" s="97" t="s">
        <v>1221</v>
      </c>
      <c r="V176" s="97" t="s">
        <v>1573</v>
      </c>
      <c r="W176" s="143"/>
      <c r="X176" s="97" t="s">
        <v>1378</v>
      </c>
      <c r="Y176" s="97" t="s">
        <v>640</v>
      </c>
      <c r="Z176" s="174"/>
      <c r="AA176" s="180"/>
      <c r="AB176" s="178"/>
      <c r="AC176" s="151"/>
      <c r="AD176" s="151"/>
      <c r="AE176" s="151"/>
      <c r="AF176" s="151"/>
      <c r="AG176" s="151"/>
      <c r="AH176" s="260" t="s">
        <v>841</v>
      </c>
      <c r="AI176" s="159"/>
      <c r="AJ176" s="261"/>
    </row>
    <row r="177" spans="1:36" ht="12" hidden="1" customHeight="1">
      <c r="A177" s="97" t="s">
        <v>1581</v>
      </c>
      <c r="B177" s="74" t="s">
        <v>1582</v>
      </c>
      <c r="C177" s="81" t="s">
        <v>16</v>
      </c>
      <c r="D177" s="81" t="s">
        <v>45</v>
      </c>
      <c r="E177" s="81" t="s">
        <v>18</v>
      </c>
      <c r="F177" s="95" t="s">
        <v>939</v>
      </c>
      <c r="G177" s="81" t="s">
        <v>1583</v>
      </c>
      <c r="H177" s="75" t="s">
        <v>1584</v>
      </c>
      <c r="I177" s="90" t="s">
        <v>1585</v>
      </c>
      <c r="J177" s="49"/>
      <c r="K177" s="81" t="s">
        <v>1571</v>
      </c>
      <c r="L177" s="38" t="s">
        <v>905</v>
      </c>
      <c r="M177" s="258" t="s">
        <v>43</v>
      </c>
      <c r="N177" s="259"/>
      <c r="O177" s="155"/>
      <c r="P177" s="155"/>
      <c r="Q177" s="78" t="s">
        <v>1586</v>
      </c>
      <c r="R177" s="97" t="s">
        <v>1375</v>
      </c>
      <c r="S177" s="81" t="s">
        <v>1376</v>
      </c>
      <c r="T177" s="124" t="s">
        <v>518</v>
      </c>
      <c r="U177" s="97" t="s">
        <v>604</v>
      </c>
      <c r="V177" s="97" t="s">
        <v>1573</v>
      </c>
      <c r="W177" s="143"/>
      <c r="X177" s="97" t="s">
        <v>1378</v>
      </c>
      <c r="Y177" s="97" t="s">
        <v>640</v>
      </c>
      <c r="Z177" s="169"/>
      <c r="AA177" s="180"/>
      <c r="AB177" s="178"/>
      <c r="AC177" s="151"/>
      <c r="AD177" s="151"/>
      <c r="AE177" s="151"/>
      <c r="AF177" s="151"/>
      <c r="AG177" s="151"/>
      <c r="AH177" s="260" t="s">
        <v>841</v>
      </c>
      <c r="AI177" s="159"/>
      <c r="AJ177" s="261"/>
    </row>
    <row r="178" spans="1:36" ht="12" hidden="1" customHeight="1">
      <c r="A178" s="97" t="s">
        <v>201</v>
      </c>
      <c r="B178" s="76" t="s">
        <v>294</v>
      </c>
      <c r="C178" s="81" t="s">
        <v>16</v>
      </c>
      <c r="D178" s="81" t="s">
        <v>45</v>
      </c>
      <c r="E178" s="81" t="s">
        <v>18</v>
      </c>
      <c r="F178" s="95" t="s">
        <v>42</v>
      </c>
      <c r="G178" s="137" t="s">
        <v>411</v>
      </c>
      <c r="H178" s="76" t="s">
        <v>294</v>
      </c>
      <c r="I178" s="90" t="s">
        <v>1587</v>
      </c>
      <c r="J178" s="49"/>
      <c r="K178" s="95" t="s">
        <v>485</v>
      </c>
      <c r="L178" s="38" t="s">
        <v>905</v>
      </c>
      <c r="M178" s="258" t="s">
        <v>43</v>
      </c>
      <c r="N178" s="259" t="s">
        <v>1530</v>
      </c>
      <c r="O178" s="155"/>
      <c r="P178" s="155"/>
      <c r="Q178" s="78" t="s">
        <v>1588</v>
      </c>
      <c r="R178" s="81" t="s">
        <v>1144</v>
      </c>
      <c r="S178" s="81" t="s">
        <v>1589</v>
      </c>
      <c r="T178" s="124" t="s">
        <v>518</v>
      </c>
      <c r="U178" s="97" t="s">
        <v>1032</v>
      </c>
      <c r="V178" s="97"/>
      <c r="W178" s="143"/>
      <c r="X178" s="97" t="s">
        <v>1378</v>
      </c>
      <c r="Y178" s="97" t="s">
        <v>655</v>
      </c>
      <c r="Z178" s="169"/>
      <c r="AA178" s="179"/>
      <c r="AB178" s="178"/>
      <c r="AC178" s="151"/>
      <c r="AD178" s="151"/>
      <c r="AE178" s="151"/>
      <c r="AF178" s="151"/>
      <c r="AG178" s="151"/>
      <c r="AH178" s="260" t="s">
        <v>841</v>
      </c>
      <c r="AI178" s="159"/>
      <c r="AJ178" s="261"/>
    </row>
    <row r="179" spans="1:36" ht="12" hidden="1" customHeight="1">
      <c r="A179" s="97" t="s">
        <v>202</v>
      </c>
      <c r="B179" s="76" t="s">
        <v>295</v>
      </c>
      <c r="C179" s="81" t="s">
        <v>16</v>
      </c>
      <c r="D179" s="81" t="s">
        <v>45</v>
      </c>
      <c r="E179" s="81" t="s">
        <v>18</v>
      </c>
      <c r="F179" s="95" t="s">
        <v>42</v>
      </c>
      <c r="G179" s="137" t="s">
        <v>412</v>
      </c>
      <c r="H179" s="76" t="s">
        <v>295</v>
      </c>
      <c r="I179" s="90" t="s">
        <v>1590</v>
      </c>
      <c r="J179" s="49"/>
      <c r="K179" s="95" t="s">
        <v>485</v>
      </c>
      <c r="L179" s="38" t="s">
        <v>905</v>
      </c>
      <c r="M179" s="258" t="s">
        <v>43</v>
      </c>
      <c r="N179" s="259"/>
      <c r="O179" s="155"/>
      <c r="P179" s="155"/>
      <c r="Q179" s="78" t="s">
        <v>1588</v>
      </c>
      <c r="R179" s="81" t="s">
        <v>1144</v>
      </c>
      <c r="S179" s="81" t="s">
        <v>1589</v>
      </c>
      <c r="T179" s="124" t="s">
        <v>518</v>
      </c>
      <c r="U179" s="97" t="s">
        <v>604</v>
      </c>
      <c r="V179" s="97" t="s">
        <v>1591</v>
      </c>
      <c r="W179" s="143"/>
      <c r="X179" s="97" t="s">
        <v>1378</v>
      </c>
      <c r="Y179" s="97" t="s">
        <v>643</v>
      </c>
      <c r="Z179" s="169"/>
      <c r="AA179" s="179"/>
      <c r="AB179" s="178"/>
      <c r="AC179" s="151"/>
      <c r="AD179" s="151"/>
      <c r="AE179" s="151"/>
      <c r="AF179" s="151"/>
      <c r="AG179" s="151"/>
      <c r="AH179" s="260" t="s">
        <v>841</v>
      </c>
      <c r="AI179" s="159"/>
      <c r="AJ179" s="261"/>
    </row>
    <row r="180" spans="1:36" ht="12" hidden="1" customHeight="1">
      <c r="A180" s="97" t="s">
        <v>203</v>
      </c>
      <c r="B180" s="76" t="s">
        <v>296</v>
      </c>
      <c r="C180" s="81" t="s">
        <v>16</v>
      </c>
      <c r="D180" s="81" t="s">
        <v>45</v>
      </c>
      <c r="E180" s="81" t="s">
        <v>18</v>
      </c>
      <c r="F180" s="95" t="s">
        <v>42</v>
      </c>
      <c r="G180" s="137" t="s">
        <v>413</v>
      </c>
      <c r="H180" s="76" t="s">
        <v>296</v>
      </c>
      <c r="I180" s="87" t="s">
        <v>1592</v>
      </c>
      <c r="J180" s="49"/>
      <c r="K180" s="95" t="s">
        <v>485</v>
      </c>
      <c r="L180" s="38" t="s">
        <v>905</v>
      </c>
      <c r="M180" s="258" t="s">
        <v>43</v>
      </c>
      <c r="N180" s="259"/>
      <c r="O180" s="155"/>
      <c r="P180" s="155"/>
      <c r="Q180" s="78" t="s">
        <v>1588</v>
      </c>
      <c r="R180" s="81" t="s">
        <v>1144</v>
      </c>
      <c r="S180" s="81" t="s">
        <v>1589</v>
      </c>
      <c r="T180" s="124" t="s">
        <v>1032</v>
      </c>
      <c r="U180" s="97" t="s">
        <v>604</v>
      </c>
      <c r="V180" s="97" t="s">
        <v>1591</v>
      </c>
      <c r="W180" s="143"/>
      <c r="X180" s="97" t="s">
        <v>1378</v>
      </c>
      <c r="Y180" s="97" t="s">
        <v>643</v>
      </c>
      <c r="Z180" s="169"/>
      <c r="AA180" s="179"/>
      <c r="AB180" s="178"/>
      <c r="AC180" s="151"/>
      <c r="AD180" s="151"/>
      <c r="AE180" s="151"/>
      <c r="AF180" s="151"/>
      <c r="AG180" s="151"/>
      <c r="AH180" s="260" t="s">
        <v>841</v>
      </c>
      <c r="AI180" s="159"/>
      <c r="AJ180" s="261"/>
    </row>
    <row r="181" spans="1:36" ht="12" hidden="1" customHeight="1">
      <c r="A181" s="97" t="s">
        <v>197</v>
      </c>
      <c r="B181" s="74" t="s">
        <v>292</v>
      </c>
      <c r="C181" s="81" t="s">
        <v>16</v>
      </c>
      <c r="D181" s="81" t="s">
        <v>45</v>
      </c>
      <c r="E181" s="81" t="s">
        <v>18</v>
      </c>
      <c r="F181" s="95" t="s">
        <v>42</v>
      </c>
      <c r="G181" s="97" t="s">
        <v>406</v>
      </c>
      <c r="H181" s="74" t="s">
        <v>292</v>
      </c>
      <c r="I181" s="87" t="s">
        <v>1593</v>
      </c>
      <c r="J181" s="49"/>
      <c r="K181" s="81" t="s">
        <v>484</v>
      </c>
      <c r="L181" s="38" t="s">
        <v>905</v>
      </c>
      <c r="M181" s="258" t="s">
        <v>912</v>
      </c>
      <c r="N181" s="259" t="s">
        <v>1530</v>
      </c>
      <c r="O181" s="155"/>
      <c r="P181" s="155"/>
      <c r="Q181" s="78" t="s">
        <v>1594</v>
      </c>
      <c r="R181" s="81" t="s">
        <v>1144</v>
      </c>
      <c r="S181" s="81" t="s">
        <v>1595</v>
      </c>
      <c r="T181" s="124" t="s">
        <v>518</v>
      </c>
      <c r="U181" s="156" t="s">
        <v>518</v>
      </c>
      <c r="V181" s="159"/>
      <c r="W181" s="143"/>
      <c r="X181" s="97" t="s">
        <v>1378</v>
      </c>
      <c r="Y181" s="97" t="s">
        <v>661</v>
      </c>
      <c r="Z181" s="169"/>
      <c r="AA181" s="179"/>
      <c r="AB181" s="178"/>
      <c r="AC181" s="151"/>
      <c r="AD181" s="151"/>
      <c r="AE181" s="151"/>
      <c r="AF181" s="151"/>
      <c r="AG181" s="151"/>
      <c r="AH181" s="260" t="s">
        <v>841</v>
      </c>
      <c r="AI181" s="159"/>
      <c r="AJ181" s="261"/>
    </row>
    <row r="182" spans="1:36" ht="12" hidden="1" customHeight="1">
      <c r="A182" s="97" t="s">
        <v>198</v>
      </c>
      <c r="B182" s="74" t="s">
        <v>293</v>
      </c>
      <c r="C182" s="81" t="s">
        <v>16</v>
      </c>
      <c r="D182" s="81" t="s">
        <v>45</v>
      </c>
      <c r="E182" s="81" t="s">
        <v>18</v>
      </c>
      <c r="F182" s="95" t="s">
        <v>42</v>
      </c>
      <c r="G182" s="97" t="s">
        <v>407</v>
      </c>
      <c r="H182" s="74" t="s">
        <v>293</v>
      </c>
      <c r="I182" s="87" t="s">
        <v>1596</v>
      </c>
      <c r="J182" s="49"/>
      <c r="K182" s="81" t="s">
        <v>484</v>
      </c>
      <c r="L182" s="38" t="s">
        <v>905</v>
      </c>
      <c r="M182" s="258" t="s">
        <v>912</v>
      </c>
      <c r="N182" s="259" t="s">
        <v>1597</v>
      </c>
      <c r="O182" s="155"/>
      <c r="P182" s="155"/>
      <c r="Q182" s="78" t="s">
        <v>1594</v>
      </c>
      <c r="R182" s="81" t="s">
        <v>1144</v>
      </c>
      <c r="S182" s="81" t="s">
        <v>1595</v>
      </c>
      <c r="T182" s="124" t="s">
        <v>518</v>
      </c>
      <c r="U182" s="156" t="s">
        <v>518</v>
      </c>
      <c r="V182" s="159"/>
      <c r="W182" s="143"/>
      <c r="X182" s="97" t="s">
        <v>1378</v>
      </c>
      <c r="Y182" s="97" t="s">
        <v>662</v>
      </c>
      <c r="Z182" s="169"/>
      <c r="AA182" s="179"/>
      <c r="AB182" s="178"/>
      <c r="AC182" s="151"/>
      <c r="AD182" s="151"/>
      <c r="AE182" s="151"/>
      <c r="AF182" s="151"/>
      <c r="AG182" s="151"/>
      <c r="AH182" s="260" t="s">
        <v>841</v>
      </c>
      <c r="AI182" s="159"/>
      <c r="AJ182" s="261"/>
    </row>
    <row r="183" spans="1:36" ht="12" hidden="1" customHeight="1">
      <c r="A183" s="97" t="s">
        <v>200</v>
      </c>
      <c r="B183" s="85" t="s">
        <v>1598</v>
      </c>
      <c r="C183" s="81" t="s">
        <v>16</v>
      </c>
      <c r="D183" s="81" t="s">
        <v>45</v>
      </c>
      <c r="E183" s="81" t="s">
        <v>18</v>
      </c>
      <c r="F183" s="95" t="s">
        <v>42</v>
      </c>
      <c r="G183" s="81" t="s">
        <v>410</v>
      </c>
      <c r="H183" s="75" t="s">
        <v>1599</v>
      </c>
      <c r="I183" s="90" t="s">
        <v>1600</v>
      </c>
      <c r="J183" s="49"/>
      <c r="K183" s="81" t="s">
        <v>1601</v>
      </c>
      <c r="L183" s="38" t="s">
        <v>905</v>
      </c>
      <c r="M183" s="258" t="s">
        <v>505</v>
      </c>
      <c r="N183" s="259" t="s">
        <v>1602</v>
      </c>
      <c r="O183" s="155"/>
      <c r="P183" s="155"/>
      <c r="Q183" s="78" t="s">
        <v>1603</v>
      </c>
      <c r="R183" s="81" t="s">
        <v>1532</v>
      </c>
      <c r="S183" s="81" t="s">
        <v>1604</v>
      </c>
      <c r="T183" s="124" t="s">
        <v>1032</v>
      </c>
      <c r="U183" s="128"/>
      <c r="V183" s="128"/>
      <c r="W183" s="143"/>
      <c r="X183" s="97" t="s">
        <v>1146</v>
      </c>
      <c r="Y183" s="97" t="s">
        <v>632</v>
      </c>
      <c r="Z183" s="169"/>
      <c r="AA183" s="179"/>
      <c r="AB183" s="178"/>
      <c r="AC183" s="151"/>
      <c r="AD183" s="151"/>
      <c r="AE183" s="151"/>
      <c r="AF183" s="151"/>
      <c r="AG183" s="151"/>
      <c r="AH183" s="260" t="s">
        <v>841</v>
      </c>
      <c r="AI183" s="159"/>
      <c r="AJ183" s="263">
        <v>44323</v>
      </c>
    </row>
    <row r="184" spans="1:36" ht="12" hidden="1" customHeight="1">
      <c r="A184" s="170" t="s">
        <v>1605</v>
      </c>
      <c r="B184" s="92" t="s">
        <v>1606</v>
      </c>
      <c r="C184" s="83" t="s">
        <v>16</v>
      </c>
      <c r="D184" s="83" t="s">
        <v>45</v>
      </c>
      <c r="E184" s="83" t="s">
        <v>19</v>
      </c>
      <c r="F184" s="170" t="s">
        <v>939</v>
      </c>
      <c r="G184" s="147" t="s">
        <v>477</v>
      </c>
      <c r="H184" s="92" t="s">
        <v>1607</v>
      </c>
      <c r="I184" s="93" t="s">
        <v>1608</v>
      </c>
      <c r="J184" s="49"/>
      <c r="K184" s="83" t="s">
        <v>507</v>
      </c>
      <c r="L184" s="48" t="s">
        <v>905</v>
      </c>
      <c r="M184" s="264" t="s">
        <v>44</v>
      </c>
      <c r="N184" s="265" t="s">
        <v>1609</v>
      </c>
      <c r="O184" s="155"/>
      <c r="P184" s="155"/>
      <c r="Q184" s="225" t="s">
        <v>1610</v>
      </c>
      <c r="R184" s="170" t="s">
        <v>1375</v>
      </c>
      <c r="S184" s="170" t="s">
        <v>1611</v>
      </c>
      <c r="T184" s="124" t="s">
        <v>1032</v>
      </c>
      <c r="U184" s="156" t="s">
        <v>518</v>
      </c>
      <c r="V184" s="159"/>
      <c r="W184" s="143"/>
      <c r="X184" s="97" t="s">
        <v>1174</v>
      </c>
      <c r="Y184" s="97" t="s">
        <v>1409</v>
      </c>
      <c r="Z184" s="169"/>
      <c r="AA184" s="179"/>
      <c r="AB184" s="178"/>
      <c r="AC184" s="151"/>
      <c r="AD184" s="151"/>
      <c r="AE184" s="151"/>
      <c r="AF184" s="151"/>
      <c r="AG184" s="151"/>
      <c r="AH184" s="260" t="s">
        <v>838</v>
      </c>
      <c r="AI184" s="159"/>
      <c r="AJ184" s="261"/>
    </row>
    <row r="185" spans="1:36" ht="12" hidden="1" customHeight="1">
      <c r="A185" s="97" t="s">
        <v>264</v>
      </c>
      <c r="B185" s="76" t="s">
        <v>310</v>
      </c>
      <c r="C185" s="81" t="s">
        <v>16</v>
      </c>
      <c r="D185" s="81" t="s">
        <v>45</v>
      </c>
      <c r="E185" s="81" t="s">
        <v>18</v>
      </c>
      <c r="F185" s="95" t="s">
        <v>42</v>
      </c>
      <c r="G185" s="81" t="s">
        <v>473</v>
      </c>
      <c r="H185" s="85" t="s">
        <v>1612</v>
      </c>
      <c r="I185" s="87" t="s">
        <v>1613</v>
      </c>
      <c r="J185" s="49"/>
      <c r="K185" s="95" t="s">
        <v>1614</v>
      </c>
      <c r="L185" s="38" t="s">
        <v>905</v>
      </c>
      <c r="M185" s="258" t="s">
        <v>505</v>
      </c>
      <c r="N185" s="259" t="s">
        <v>1472</v>
      </c>
      <c r="O185" s="155"/>
      <c r="P185" s="155"/>
      <c r="Q185" s="78" t="s">
        <v>1615</v>
      </c>
      <c r="R185" s="97" t="s">
        <v>1341</v>
      </c>
      <c r="S185" s="97" t="s">
        <v>1616</v>
      </c>
      <c r="T185" s="124" t="s">
        <v>518</v>
      </c>
      <c r="U185" s="156" t="s">
        <v>518</v>
      </c>
      <c r="V185" s="159"/>
      <c r="W185" s="143"/>
      <c r="X185" s="97" t="s">
        <v>1146</v>
      </c>
      <c r="Y185" s="97" t="s">
        <v>663</v>
      </c>
      <c r="Z185" s="169"/>
      <c r="AA185" s="179"/>
      <c r="AB185" s="178"/>
      <c r="AC185" s="151"/>
      <c r="AD185" s="151"/>
      <c r="AE185" s="151"/>
      <c r="AF185" s="151"/>
      <c r="AG185" s="151"/>
      <c r="AH185" s="260" t="s">
        <v>838</v>
      </c>
      <c r="AI185" s="159"/>
      <c r="AJ185" s="263">
        <v>44320</v>
      </c>
    </row>
    <row r="186" spans="1:36" ht="12" hidden="1" customHeight="1">
      <c r="A186" s="97" t="s">
        <v>1434</v>
      </c>
      <c r="B186" s="76" t="s">
        <v>1435</v>
      </c>
      <c r="C186" s="81" t="s">
        <v>16</v>
      </c>
      <c r="D186" s="81" t="s">
        <v>45</v>
      </c>
      <c r="E186" s="81" t="s">
        <v>18</v>
      </c>
      <c r="F186" s="95" t="s">
        <v>42</v>
      </c>
      <c r="G186" s="81" t="s">
        <v>1617</v>
      </c>
      <c r="H186" s="76" t="s">
        <v>1618</v>
      </c>
      <c r="I186" s="87" t="s">
        <v>1619</v>
      </c>
      <c r="J186" s="49"/>
      <c r="K186" s="95" t="s">
        <v>510</v>
      </c>
      <c r="L186" s="38" t="s">
        <v>905</v>
      </c>
      <c r="M186" s="258" t="s">
        <v>912</v>
      </c>
      <c r="N186" s="259"/>
      <c r="O186" s="155"/>
      <c r="P186" s="155"/>
      <c r="Q186" s="78" t="s">
        <v>1615</v>
      </c>
      <c r="R186" s="81" t="s">
        <v>1620</v>
      </c>
      <c r="S186" s="97" t="s">
        <v>1162</v>
      </c>
      <c r="T186" s="124" t="s">
        <v>518</v>
      </c>
      <c r="U186" s="95" t="s">
        <v>1621</v>
      </c>
      <c r="V186" s="95" t="s">
        <v>1622</v>
      </c>
      <c r="W186" s="143"/>
      <c r="X186" s="95" t="s">
        <v>1622</v>
      </c>
      <c r="Y186" s="97" t="s">
        <v>639</v>
      </c>
      <c r="Z186" s="169"/>
      <c r="AA186" s="181"/>
      <c r="AB186" s="178"/>
      <c r="AC186" s="151"/>
      <c r="AD186" s="151"/>
      <c r="AE186" s="151"/>
      <c r="AF186" s="151"/>
      <c r="AG186" s="151"/>
      <c r="AH186" s="260" t="s">
        <v>838</v>
      </c>
      <c r="AI186" s="159"/>
      <c r="AJ186" s="261"/>
    </row>
    <row r="187" spans="1:36" ht="12" hidden="1" customHeight="1">
      <c r="A187" s="170" t="s">
        <v>151</v>
      </c>
      <c r="B187" s="224" t="s">
        <v>1623</v>
      </c>
      <c r="C187" s="83" t="s">
        <v>16</v>
      </c>
      <c r="D187" s="83" t="s">
        <v>45</v>
      </c>
      <c r="E187" s="83" t="s">
        <v>19</v>
      </c>
      <c r="F187" s="170" t="s">
        <v>939</v>
      </c>
      <c r="G187" s="83" t="s">
        <v>1624</v>
      </c>
      <c r="H187" s="92" t="s">
        <v>1625</v>
      </c>
      <c r="I187" s="227" t="s">
        <v>1626</v>
      </c>
      <c r="J187" s="49"/>
      <c r="K187" s="83" t="s">
        <v>1161</v>
      </c>
      <c r="L187" s="48" t="s">
        <v>905</v>
      </c>
      <c r="M187" s="266" t="s">
        <v>44</v>
      </c>
      <c r="N187" s="265" t="s">
        <v>1627</v>
      </c>
      <c r="O187" s="155"/>
      <c r="P187" s="155"/>
      <c r="Q187" s="225" t="s">
        <v>1628</v>
      </c>
      <c r="R187" s="170" t="s">
        <v>1629</v>
      </c>
      <c r="S187" s="170" t="s">
        <v>1162</v>
      </c>
      <c r="T187" s="124" t="s">
        <v>1343</v>
      </c>
      <c r="U187" s="95" t="s">
        <v>1166</v>
      </c>
      <c r="V187" s="95" t="s">
        <v>1630</v>
      </c>
      <c r="W187" s="143"/>
      <c r="X187" s="97" t="s">
        <v>638</v>
      </c>
      <c r="Y187" s="97" t="s">
        <v>639</v>
      </c>
      <c r="Z187" s="169"/>
      <c r="AA187" s="179"/>
      <c r="AB187" s="178"/>
      <c r="AC187" s="151"/>
      <c r="AD187" s="151"/>
      <c r="AE187" s="151"/>
      <c r="AF187" s="151"/>
      <c r="AG187" s="151"/>
      <c r="AH187" s="260" t="s">
        <v>838</v>
      </c>
      <c r="AI187" s="159"/>
      <c r="AJ187" s="261"/>
    </row>
    <row r="188" spans="1:36" ht="12" hidden="1" customHeight="1">
      <c r="A188" s="97" t="s">
        <v>263</v>
      </c>
      <c r="B188" s="76" t="s">
        <v>308</v>
      </c>
      <c r="C188" s="81" t="s">
        <v>16</v>
      </c>
      <c r="D188" s="81" t="s">
        <v>45</v>
      </c>
      <c r="E188" s="81" t="s">
        <v>18</v>
      </c>
      <c r="F188" s="95" t="s">
        <v>42</v>
      </c>
      <c r="G188" s="95" t="s">
        <v>1631</v>
      </c>
      <c r="H188" s="76" t="s">
        <v>1632</v>
      </c>
      <c r="I188" s="87" t="s">
        <v>1633</v>
      </c>
      <c r="J188" s="49"/>
      <c r="K188" s="95" t="s">
        <v>507</v>
      </c>
      <c r="L188" s="38" t="s">
        <v>905</v>
      </c>
      <c r="M188" s="258" t="s">
        <v>505</v>
      </c>
      <c r="N188" s="259" t="s">
        <v>1247</v>
      </c>
      <c r="O188" s="155"/>
      <c r="P188" s="155"/>
      <c r="Q188" s="78" t="s">
        <v>1444</v>
      </c>
      <c r="R188" s="95" t="s">
        <v>1634</v>
      </c>
      <c r="S188" s="95" t="s">
        <v>1635</v>
      </c>
      <c r="T188" s="124" t="s">
        <v>518</v>
      </c>
      <c r="U188" s="156" t="s">
        <v>518</v>
      </c>
      <c r="V188" s="159"/>
      <c r="W188" s="143"/>
      <c r="X188" s="97" t="s">
        <v>1155</v>
      </c>
      <c r="Y188" s="97" t="s">
        <v>632</v>
      </c>
      <c r="Z188" s="169"/>
      <c r="AA188" s="179"/>
      <c r="AB188" s="178"/>
      <c r="AC188" s="151"/>
      <c r="AD188" s="151"/>
      <c r="AE188" s="151"/>
      <c r="AF188" s="151"/>
      <c r="AG188" s="151"/>
      <c r="AH188" s="260" t="s">
        <v>838</v>
      </c>
      <c r="AI188" s="159"/>
      <c r="AJ188" s="263">
        <v>44320</v>
      </c>
    </row>
    <row r="189" spans="1:36" ht="12" hidden="1" customHeight="1">
      <c r="A189" s="170" t="s">
        <v>263</v>
      </c>
      <c r="B189" s="223" t="s">
        <v>308</v>
      </c>
      <c r="C189" s="83" t="s">
        <v>16</v>
      </c>
      <c r="D189" s="83" t="s">
        <v>45</v>
      </c>
      <c r="E189" s="83" t="s">
        <v>19</v>
      </c>
      <c r="F189" s="170" t="s">
        <v>42</v>
      </c>
      <c r="G189" s="170" t="s">
        <v>1636</v>
      </c>
      <c r="H189" s="223" t="s">
        <v>1637</v>
      </c>
      <c r="I189" s="92" t="s">
        <v>1638</v>
      </c>
      <c r="J189" s="49"/>
      <c r="K189" s="170" t="s">
        <v>507</v>
      </c>
      <c r="L189" s="48" t="s">
        <v>905</v>
      </c>
      <c r="M189" s="264" t="s">
        <v>44</v>
      </c>
      <c r="N189" s="275" t="s">
        <v>1639</v>
      </c>
      <c r="O189" s="155"/>
      <c r="P189" s="155"/>
      <c r="Q189" s="225" t="s">
        <v>1640</v>
      </c>
      <c r="R189" s="170" t="s">
        <v>1641</v>
      </c>
      <c r="S189" s="170" t="s">
        <v>1642</v>
      </c>
      <c r="T189" s="124" t="s">
        <v>1032</v>
      </c>
      <c r="U189" s="95" t="s">
        <v>1263</v>
      </c>
      <c r="V189" s="95" t="s">
        <v>1643</v>
      </c>
      <c r="W189" s="143"/>
      <c r="X189" s="97" t="s">
        <v>1644</v>
      </c>
      <c r="Y189" s="97" t="s">
        <v>632</v>
      </c>
      <c r="Z189" s="174"/>
      <c r="AA189" s="180"/>
      <c r="AB189" s="178"/>
      <c r="AC189" s="151"/>
      <c r="AD189" s="151"/>
      <c r="AE189" s="151"/>
      <c r="AF189" s="151"/>
      <c r="AG189" s="151"/>
      <c r="AH189" s="260" t="s">
        <v>838</v>
      </c>
      <c r="AI189" s="159"/>
      <c r="AJ189" s="261"/>
    </row>
    <row r="190" spans="1:36" ht="12" hidden="1" customHeight="1">
      <c r="A190" s="170" t="s">
        <v>263</v>
      </c>
      <c r="B190" s="223" t="s">
        <v>308</v>
      </c>
      <c r="C190" s="83" t="s">
        <v>16</v>
      </c>
      <c r="D190" s="83" t="s">
        <v>45</v>
      </c>
      <c r="E190" s="83" t="s">
        <v>19</v>
      </c>
      <c r="F190" s="170" t="s">
        <v>42</v>
      </c>
      <c r="G190" s="170" t="s">
        <v>1645</v>
      </c>
      <c r="H190" s="223" t="s">
        <v>1646</v>
      </c>
      <c r="I190" s="92" t="s">
        <v>1647</v>
      </c>
      <c r="J190" s="49"/>
      <c r="K190" s="170" t="s">
        <v>507</v>
      </c>
      <c r="L190" s="48" t="s">
        <v>905</v>
      </c>
      <c r="M190" s="264" t="s">
        <v>44</v>
      </c>
      <c r="N190" s="267" t="s">
        <v>1648</v>
      </c>
      <c r="O190" s="155"/>
      <c r="P190" s="155"/>
      <c r="Q190" s="225" t="s">
        <v>1649</v>
      </c>
      <c r="R190" s="170" t="s">
        <v>1634</v>
      </c>
      <c r="S190" s="170" t="s">
        <v>1635</v>
      </c>
      <c r="T190" s="124" t="s">
        <v>518</v>
      </c>
      <c r="U190" s="156" t="s">
        <v>518</v>
      </c>
      <c r="V190" s="159"/>
      <c r="W190" s="143"/>
      <c r="X190" s="97" t="s">
        <v>1409</v>
      </c>
      <c r="Y190" s="97" t="s">
        <v>1650</v>
      </c>
      <c r="Z190" s="169"/>
      <c r="AA190" s="179"/>
      <c r="AB190" s="178"/>
      <c r="AC190" s="151"/>
      <c r="AD190" s="151"/>
      <c r="AE190" s="151"/>
      <c r="AF190" s="151"/>
      <c r="AG190" s="151"/>
      <c r="AH190" s="260" t="s">
        <v>838</v>
      </c>
      <c r="AI190" s="159"/>
      <c r="AJ190" s="261"/>
    </row>
    <row r="191" spans="1:36" ht="12" hidden="1" customHeight="1">
      <c r="A191" s="97" t="s">
        <v>1651</v>
      </c>
      <c r="B191" s="76" t="s">
        <v>1652</v>
      </c>
      <c r="C191" s="81" t="s">
        <v>16</v>
      </c>
      <c r="D191" s="81" t="s">
        <v>45</v>
      </c>
      <c r="E191" s="81" t="s">
        <v>18</v>
      </c>
      <c r="F191" s="95" t="s">
        <v>939</v>
      </c>
      <c r="G191" s="95" t="s">
        <v>1653</v>
      </c>
      <c r="H191" s="76" t="s">
        <v>1654</v>
      </c>
      <c r="I191" s="87" t="s">
        <v>1655</v>
      </c>
      <c r="J191" s="49"/>
      <c r="K191" s="95" t="s">
        <v>1656</v>
      </c>
      <c r="L191" s="38" t="s">
        <v>905</v>
      </c>
      <c r="M191" s="258" t="s">
        <v>43</v>
      </c>
      <c r="N191" s="259"/>
      <c r="O191" s="155"/>
      <c r="P191" s="155"/>
      <c r="Q191" s="78" t="s">
        <v>1444</v>
      </c>
      <c r="R191" s="95" t="s">
        <v>1634</v>
      </c>
      <c r="S191" s="95" t="s">
        <v>1635</v>
      </c>
      <c r="T191" s="124" t="s">
        <v>518</v>
      </c>
      <c r="U191" s="156" t="s">
        <v>518</v>
      </c>
      <c r="V191" s="159"/>
      <c r="W191" s="143"/>
      <c r="X191" s="97" t="s">
        <v>1174</v>
      </c>
      <c r="Y191" s="97" t="s">
        <v>633</v>
      </c>
      <c r="Z191" s="169"/>
      <c r="AA191" s="179"/>
      <c r="AB191" s="178"/>
      <c r="AC191" s="151"/>
      <c r="AD191" s="151"/>
      <c r="AE191" s="151"/>
      <c r="AF191" s="151"/>
      <c r="AG191" s="151"/>
      <c r="AH191" s="260" t="s">
        <v>838</v>
      </c>
      <c r="AI191" s="159"/>
      <c r="AJ191" s="261"/>
    </row>
    <row r="192" spans="1:36" ht="12" hidden="1" customHeight="1">
      <c r="A192" s="97" t="s">
        <v>251</v>
      </c>
      <c r="B192" s="76" t="s">
        <v>307</v>
      </c>
      <c r="C192" s="81" t="s">
        <v>16</v>
      </c>
      <c r="D192" s="81" t="s">
        <v>45</v>
      </c>
      <c r="E192" s="81" t="s">
        <v>18</v>
      </c>
      <c r="F192" s="95" t="s">
        <v>42</v>
      </c>
      <c r="G192" s="95" t="s">
        <v>1657</v>
      </c>
      <c r="H192" s="85" t="s">
        <v>1658</v>
      </c>
      <c r="I192" s="87" t="s">
        <v>1659</v>
      </c>
      <c r="J192" s="49"/>
      <c r="K192" s="95" t="s">
        <v>507</v>
      </c>
      <c r="L192" s="38" t="s">
        <v>905</v>
      </c>
      <c r="M192" s="258" t="s">
        <v>43</v>
      </c>
      <c r="N192" s="259"/>
      <c r="O192" s="155"/>
      <c r="P192" s="155"/>
      <c r="Q192" s="78" t="s">
        <v>1660</v>
      </c>
      <c r="R192" s="95" t="s">
        <v>1634</v>
      </c>
      <c r="S192" s="95" t="s">
        <v>1635</v>
      </c>
      <c r="T192" s="124" t="s">
        <v>1343</v>
      </c>
      <c r="U192" s="97" t="s">
        <v>1661</v>
      </c>
      <c r="V192" s="97" t="s">
        <v>1662</v>
      </c>
      <c r="W192" s="143"/>
      <c r="X192" s="97" t="s">
        <v>1174</v>
      </c>
      <c r="Y192" s="97" t="s">
        <v>632</v>
      </c>
      <c r="Z192" s="174"/>
      <c r="AA192" s="180"/>
      <c r="AB192" s="178"/>
      <c r="AC192" s="151"/>
      <c r="AD192" s="151"/>
      <c r="AE192" s="151"/>
      <c r="AF192" s="151"/>
      <c r="AG192" s="151"/>
      <c r="AH192" s="260" t="s">
        <v>838</v>
      </c>
      <c r="AI192" s="159"/>
      <c r="AJ192" s="261"/>
    </row>
    <row r="193" spans="1:36" ht="12" hidden="1" customHeight="1">
      <c r="A193" s="97" t="s">
        <v>251</v>
      </c>
      <c r="B193" s="76" t="s">
        <v>307</v>
      </c>
      <c r="C193" s="81" t="s">
        <v>16</v>
      </c>
      <c r="D193" s="81" t="s">
        <v>45</v>
      </c>
      <c r="E193" s="81" t="s">
        <v>18</v>
      </c>
      <c r="F193" s="95" t="s">
        <v>42</v>
      </c>
      <c r="G193" s="95" t="s">
        <v>460</v>
      </c>
      <c r="H193" s="85" t="s">
        <v>1663</v>
      </c>
      <c r="I193" s="87" t="s">
        <v>1664</v>
      </c>
      <c r="J193" s="49"/>
      <c r="K193" s="95" t="s">
        <v>507</v>
      </c>
      <c r="L193" s="38" t="s">
        <v>905</v>
      </c>
      <c r="M193" s="258" t="s">
        <v>43</v>
      </c>
      <c r="N193" s="259"/>
      <c r="O193" s="155"/>
      <c r="P193" s="155"/>
      <c r="Q193" s="78"/>
      <c r="R193" s="95" t="s">
        <v>1634</v>
      </c>
      <c r="S193" s="95" t="s">
        <v>1635</v>
      </c>
      <c r="T193" s="124" t="s">
        <v>518</v>
      </c>
      <c r="U193" s="97" t="s">
        <v>1661</v>
      </c>
      <c r="V193" s="97" t="s">
        <v>1662</v>
      </c>
      <c r="W193" s="143"/>
      <c r="X193" s="97" t="s">
        <v>1174</v>
      </c>
      <c r="Y193" s="97" t="s">
        <v>632</v>
      </c>
      <c r="Z193" s="169"/>
      <c r="AA193" s="179"/>
      <c r="AB193" s="178"/>
      <c r="AC193" s="151"/>
      <c r="AD193" s="151"/>
      <c r="AE193" s="151"/>
      <c r="AF193" s="151"/>
      <c r="AG193" s="151"/>
      <c r="AH193" s="260" t="s">
        <v>838</v>
      </c>
      <c r="AI193" s="159"/>
      <c r="AJ193" s="261"/>
    </row>
    <row r="194" spans="1:36" ht="12" hidden="1" customHeight="1">
      <c r="A194" s="229" t="s">
        <v>1665</v>
      </c>
      <c r="B194" s="230" t="s">
        <v>1666</v>
      </c>
      <c r="C194" s="83" t="s">
        <v>16</v>
      </c>
      <c r="D194" s="83" t="s">
        <v>45</v>
      </c>
      <c r="E194" s="83" t="s">
        <v>19</v>
      </c>
      <c r="F194" s="170" t="s">
        <v>42</v>
      </c>
      <c r="G194" s="147" t="s">
        <v>1667</v>
      </c>
      <c r="H194" s="230" t="s">
        <v>1666</v>
      </c>
      <c r="I194" s="231" t="s">
        <v>1668</v>
      </c>
      <c r="J194" s="49"/>
      <c r="K194" s="83" t="s">
        <v>507</v>
      </c>
      <c r="L194" s="48" t="s">
        <v>905</v>
      </c>
      <c r="M194" s="264" t="s">
        <v>44</v>
      </c>
      <c r="N194" s="267" t="s">
        <v>1669</v>
      </c>
      <c r="O194" s="155"/>
      <c r="P194" s="155"/>
      <c r="Q194" s="225" t="s">
        <v>1670</v>
      </c>
      <c r="R194" s="147" t="s">
        <v>1634</v>
      </c>
      <c r="S194" s="147" t="s">
        <v>1635</v>
      </c>
      <c r="T194" s="124" t="s">
        <v>518</v>
      </c>
      <c r="U194" s="156" t="s">
        <v>518</v>
      </c>
      <c r="V194" s="159"/>
      <c r="W194" s="143"/>
      <c r="X194" s="97" t="s">
        <v>1409</v>
      </c>
      <c r="Y194" s="97" t="s">
        <v>1650</v>
      </c>
      <c r="Z194" s="169"/>
      <c r="AA194" s="179"/>
      <c r="AB194" s="178"/>
      <c r="AC194" s="151"/>
      <c r="AD194" s="151"/>
      <c r="AE194" s="151"/>
      <c r="AF194" s="151"/>
      <c r="AG194" s="151"/>
      <c r="AH194" s="260" t="s">
        <v>838</v>
      </c>
      <c r="AI194" s="159" t="s">
        <v>965</v>
      </c>
      <c r="AJ194" s="261"/>
    </row>
    <row r="195" spans="1:36" ht="12" hidden="1" customHeight="1">
      <c r="A195" s="97" t="s">
        <v>1156</v>
      </c>
      <c r="B195" s="76" t="s">
        <v>1147</v>
      </c>
      <c r="C195" s="81" t="s">
        <v>16</v>
      </c>
      <c r="D195" s="81" t="s">
        <v>45</v>
      </c>
      <c r="E195" s="81" t="s">
        <v>18</v>
      </c>
      <c r="F195" s="95" t="s">
        <v>42</v>
      </c>
      <c r="G195" s="81" t="s">
        <v>1671</v>
      </c>
      <c r="H195" s="85" t="s">
        <v>1672</v>
      </c>
      <c r="I195" s="75" t="s">
        <v>1673</v>
      </c>
      <c r="J195" s="49"/>
      <c r="K195" s="95" t="s">
        <v>507</v>
      </c>
      <c r="L195" s="38" t="s">
        <v>905</v>
      </c>
      <c r="M195" s="258" t="s">
        <v>43</v>
      </c>
      <c r="N195" s="259"/>
      <c r="O195" s="155"/>
      <c r="P195" s="155"/>
      <c r="Q195" s="78"/>
      <c r="R195" s="97" t="s">
        <v>1634</v>
      </c>
      <c r="S195" s="81" t="s">
        <v>1674</v>
      </c>
      <c r="T195" s="124" t="s">
        <v>518</v>
      </c>
      <c r="U195" s="128"/>
      <c r="V195" s="126"/>
      <c r="W195" s="143"/>
      <c r="X195" s="97" t="s">
        <v>1155</v>
      </c>
      <c r="Y195" s="97" t="s">
        <v>632</v>
      </c>
      <c r="Z195" s="169"/>
      <c r="AA195" s="179"/>
      <c r="AB195" s="178"/>
      <c r="AC195" s="151"/>
      <c r="AD195" s="151"/>
      <c r="AE195" s="151"/>
      <c r="AF195" s="151"/>
      <c r="AG195" s="151"/>
      <c r="AH195" s="260" t="s">
        <v>838</v>
      </c>
      <c r="AI195" s="159"/>
      <c r="AJ195" s="261"/>
    </row>
    <row r="196" spans="1:36" ht="12" hidden="1" customHeight="1">
      <c r="A196" s="170" t="s">
        <v>160</v>
      </c>
      <c r="B196" s="223" t="s">
        <v>1675</v>
      </c>
      <c r="C196" s="83" t="s">
        <v>16</v>
      </c>
      <c r="D196" s="83" t="s">
        <v>45</v>
      </c>
      <c r="E196" s="83" t="s">
        <v>19</v>
      </c>
      <c r="F196" s="170" t="s">
        <v>42</v>
      </c>
      <c r="G196" s="83" t="s">
        <v>1676</v>
      </c>
      <c r="H196" s="223" t="s">
        <v>1677</v>
      </c>
      <c r="I196" s="92" t="s">
        <v>1678</v>
      </c>
      <c r="J196" s="49"/>
      <c r="K196" s="170" t="s">
        <v>1679</v>
      </c>
      <c r="L196" s="48" t="s">
        <v>905</v>
      </c>
      <c r="M196" s="266" t="s">
        <v>798</v>
      </c>
      <c r="N196" s="265" t="s">
        <v>1680</v>
      </c>
      <c r="O196" s="155"/>
      <c r="P196" s="155"/>
      <c r="Q196" s="143" t="s">
        <v>1681</v>
      </c>
      <c r="R196" s="83" t="s">
        <v>1682</v>
      </c>
      <c r="S196" s="170" t="s">
        <v>1683</v>
      </c>
      <c r="T196" s="124" t="s">
        <v>1032</v>
      </c>
      <c r="U196" s="156" t="s">
        <v>518</v>
      </c>
      <c r="V196" s="159"/>
      <c r="W196" s="143"/>
      <c r="X196" s="129" t="s">
        <v>1684</v>
      </c>
      <c r="Y196" s="97" t="s">
        <v>664</v>
      </c>
      <c r="Z196" s="169"/>
      <c r="AA196" s="180"/>
      <c r="AB196" s="178"/>
      <c r="AC196" s="151"/>
      <c r="AD196" s="151"/>
      <c r="AE196" s="151"/>
      <c r="AF196" s="151"/>
      <c r="AG196" s="151"/>
      <c r="AH196" s="260" t="s">
        <v>838</v>
      </c>
      <c r="AI196" s="159"/>
      <c r="AJ196" s="261"/>
    </row>
    <row r="197" spans="1:36" ht="12" hidden="1" customHeight="1">
      <c r="A197" s="97" t="s">
        <v>252</v>
      </c>
      <c r="B197" s="80" t="s">
        <v>1685</v>
      </c>
      <c r="C197" s="81" t="s">
        <v>16</v>
      </c>
      <c r="D197" s="81" t="s">
        <v>45</v>
      </c>
      <c r="E197" s="81" t="s">
        <v>18</v>
      </c>
      <c r="F197" s="194" t="s">
        <v>42</v>
      </c>
      <c r="G197" s="81" t="s">
        <v>462</v>
      </c>
      <c r="H197" s="76" t="s">
        <v>1686</v>
      </c>
      <c r="I197" s="87" t="s">
        <v>1687</v>
      </c>
      <c r="J197" s="49"/>
      <c r="K197" s="95" t="s">
        <v>1679</v>
      </c>
      <c r="L197" s="38" t="s">
        <v>905</v>
      </c>
      <c r="M197" s="258" t="s">
        <v>43</v>
      </c>
      <c r="N197" s="259"/>
      <c r="O197" s="155"/>
      <c r="P197" s="155"/>
      <c r="Q197" s="99" t="s">
        <v>1688</v>
      </c>
      <c r="R197" s="97" t="s">
        <v>1682</v>
      </c>
      <c r="S197" s="97" t="s">
        <v>1683</v>
      </c>
      <c r="T197" s="124" t="s">
        <v>518</v>
      </c>
      <c r="U197" s="156" t="s">
        <v>518</v>
      </c>
      <c r="V197" s="159"/>
      <c r="W197" s="143"/>
      <c r="X197" s="129" t="s">
        <v>1146</v>
      </c>
      <c r="Y197" s="97" t="s">
        <v>664</v>
      </c>
      <c r="Z197" s="169"/>
      <c r="AA197" s="53" t="s">
        <v>1343</v>
      </c>
      <c r="AB197" s="178"/>
      <c r="AC197" s="151"/>
      <c r="AD197" s="151"/>
      <c r="AE197" s="151"/>
      <c r="AF197" s="151"/>
      <c r="AG197" s="151"/>
      <c r="AH197" s="260" t="s">
        <v>838</v>
      </c>
      <c r="AI197" s="159"/>
      <c r="AJ197" s="261"/>
    </row>
    <row r="198" spans="1:36" ht="12" hidden="1" customHeight="1">
      <c r="A198" s="97" t="s">
        <v>252</v>
      </c>
      <c r="B198" s="80" t="s">
        <v>1685</v>
      </c>
      <c r="C198" s="81" t="s">
        <v>16</v>
      </c>
      <c r="D198" s="81" t="s">
        <v>45</v>
      </c>
      <c r="E198" s="81" t="s">
        <v>18</v>
      </c>
      <c r="F198" s="95" t="s">
        <v>42</v>
      </c>
      <c r="G198" s="81" t="s">
        <v>1689</v>
      </c>
      <c r="H198" s="76" t="s">
        <v>1690</v>
      </c>
      <c r="I198" s="87" t="s">
        <v>1691</v>
      </c>
      <c r="J198" s="49"/>
      <c r="K198" s="95" t="s">
        <v>1679</v>
      </c>
      <c r="L198" s="38" t="s">
        <v>905</v>
      </c>
      <c r="M198" s="258" t="s">
        <v>505</v>
      </c>
      <c r="N198" s="259" t="s">
        <v>1247</v>
      </c>
      <c r="O198" s="155"/>
      <c r="P198" s="155"/>
      <c r="Q198" s="99" t="s">
        <v>1692</v>
      </c>
      <c r="R198" s="97" t="s">
        <v>1682</v>
      </c>
      <c r="S198" s="97" t="s">
        <v>1683</v>
      </c>
      <c r="T198" s="124" t="s">
        <v>518</v>
      </c>
      <c r="U198" s="156" t="s">
        <v>518</v>
      </c>
      <c r="V198" s="159"/>
      <c r="W198" s="143"/>
      <c r="X198" s="129" t="s">
        <v>1146</v>
      </c>
      <c r="Y198" s="97" t="s">
        <v>664</v>
      </c>
      <c r="Z198" s="169"/>
      <c r="AA198" s="53" t="s">
        <v>1343</v>
      </c>
      <c r="AB198" s="178"/>
      <c r="AC198" s="151"/>
      <c r="AD198" s="151"/>
      <c r="AE198" s="151"/>
      <c r="AF198" s="151"/>
      <c r="AG198" s="151"/>
      <c r="AH198" s="260" t="s">
        <v>838</v>
      </c>
      <c r="AI198" s="159"/>
      <c r="AJ198" s="263">
        <v>44320</v>
      </c>
    </row>
    <row r="199" spans="1:36" ht="12" hidden="1" customHeight="1">
      <c r="A199" s="97" t="s">
        <v>1693</v>
      </c>
      <c r="B199" s="76" t="s">
        <v>1694</v>
      </c>
      <c r="C199" s="81" t="s">
        <v>16</v>
      </c>
      <c r="D199" s="81" t="s">
        <v>45</v>
      </c>
      <c r="E199" s="81" t="s">
        <v>18</v>
      </c>
      <c r="F199" s="95" t="s">
        <v>42</v>
      </c>
      <c r="G199" s="81" t="s">
        <v>476</v>
      </c>
      <c r="H199" s="76" t="s">
        <v>1694</v>
      </c>
      <c r="I199" s="87" t="s">
        <v>1695</v>
      </c>
      <c r="J199" s="49"/>
      <c r="K199" s="95" t="s">
        <v>1679</v>
      </c>
      <c r="L199" s="38" t="s">
        <v>905</v>
      </c>
      <c r="M199" s="258" t="s">
        <v>912</v>
      </c>
      <c r="N199" s="259" t="s">
        <v>1696</v>
      </c>
      <c r="O199" s="155"/>
      <c r="P199" s="155"/>
      <c r="Q199" s="99" t="s">
        <v>1692</v>
      </c>
      <c r="R199" s="97" t="s">
        <v>1682</v>
      </c>
      <c r="S199" s="97" t="s">
        <v>1683</v>
      </c>
      <c r="T199" s="124" t="s">
        <v>518</v>
      </c>
      <c r="U199" s="156" t="s">
        <v>518</v>
      </c>
      <c r="V199" s="159"/>
      <c r="W199" s="143"/>
      <c r="X199" s="129" t="s">
        <v>1174</v>
      </c>
      <c r="Y199" s="97" t="s">
        <v>664</v>
      </c>
      <c r="Z199" s="169"/>
      <c r="AA199" s="180"/>
      <c r="AB199" s="178"/>
      <c r="AC199" s="151"/>
      <c r="AD199" s="151"/>
      <c r="AE199" s="151"/>
      <c r="AF199" s="151"/>
      <c r="AG199" s="151"/>
      <c r="AH199" s="260" t="s">
        <v>838</v>
      </c>
      <c r="AI199" s="159"/>
      <c r="AJ199" s="261"/>
    </row>
    <row r="200" spans="1:36" ht="12" hidden="1" customHeight="1">
      <c r="A200" s="170" t="s">
        <v>1697</v>
      </c>
      <c r="B200" s="223" t="s">
        <v>1698</v>
      </c>
      <c r="C200" s="83" t="s">
        <v>16</v>
      </c>
      <c r="D200" s="83" t="s">
        <v>45</v>
      </c>
      <c r="E200" s="83" t="s">
        <v>19</v>
      </c>
      <c r="F200" s="170" t="s">
        <v>362</v>
      </c>
      <c r="G200" s="83" t="s">
        <v>1699</v>
      </c>
      <c r="H200" s="223" t="s">
        <v>1700</v>
      </c>
      <c r="I200" s="94" t="s">
        <v>1701</v>
      </c>
      <c r="J200" s="49"/>
      <c r="K200" s="170" t="s">
        <v>1276</v>
      </c>
      <c r="L200" s="48" t="s">
        <v>905</v>
      </c>
      <c r="M200" s="266" t="s">
        <v>44</v>
      </c>
      <c r="N200" s="265" t="s">
        <v>1702</v>
      </c>
      <c r="O200" s="155"/>
      <c r="P200" s="155"/>
      <c r="Q200" s="143" t="s">
        <v>1703</v>
      </c>
      <c r="R200" s="170" t="s">
        <v>1682</v>
      </c>
      <c r="S200" s="83" t="s">
        <v>1683</v>
      </c>
      <c r="T200" s="124" t="s">
        <v>518</v>
      </c>
      <c r="U200" s="156" t="s">
        <v>518</v>
      </c>
      <c r="V200" s="159"/>
      <c r="W200" s="143"/>
      <c r="X200" s="129" t="s">
        <v>1174</v>
      </c>
      <c r="Y200" s="97" t="s">
        <v>1704</v>
      </c>
      <c r="Z200" s="169"/>
      <c r="AA200" s="180"/>
      <c r="AB200" s="178"/>
      <c r="AC200" s="151"/>
      <c r="AD200" s="151"/>
      <c r="AE200" s="151"/>
      <c r="AF200" s="151"/>
      <c r="AG200" s="151"/>
      <c r="AH200" s="260" t="s">
        <v>838</v>
      </c>
      <c r="AI200" s="159" t="s">
        <v>965</v>
      </c>
      <c r="AJ200" s="261"/>
    </row>
    <row r="201" spans="1:36" ht="12" hidden="1" customHeight="1">
      <c r="A201" s="170" t="s">
        <v>1705</v>
      </c>
      <c r="B201" s="223" t="s">
        <v>1706</v>
      </c>
      <c r="C201" s="83" t="s">
        <v>16</v>
      </c>
      <c r="D201" s="83" t="s">
        <v>45</v>
      </c>
      <c r="E201" s="83" t="s">
        <v>19</v>
      </c>
      <c r="F201" s="170" t="s">
        <v>42</v>
      </c>
      <c r="G201" s="83" t="s">
        <v>1707</v>
      </c>
      <c r="H201" s="223" t="s">
        <v>1706</v>
      </c>
      <c r="I201" s="93" t="s">
        <v>1708</v>
      </c>
      <c r="J201" s="49"/>
      <c r="K201" s="170" t="s">
        <v>1373</v>
      </c>
      <c r="L201" s="48" t="s">
        <v>905</v>
      </c>
      <c r="M201" s="264" t="s">
        <v>44</v>
      </c>
      <c r="N201" s="267"/>
      <c r="O201" s="155"/>
      <c r="P201" s="155"/>
      <c r="Q201" s="146" t="s">
        <v>1709</v>
      </c>
      <c r="R201" s="170" t="s">
        <v>1483</v>
      </c>
      <c r="S201" s="170" t="s">
        <v>1484</v>
      </c>
      <c r="T201" s="124" t="s">
        <v>518</v>
      </c>
      <c r="U201" s="156" t="s">
        <v>518</v>
      </c>
      <c r="V201" s="159"/>
      <c r="W201" s="143"/>
      <c r="X201" s="97" t="s">
        <v>1345</v>
      </c>
      <c r="Y201" s="97" t="s">
        <v>1409</v>
      </c>
      <c r="Z201" s="169"/>
      <c r="AA201" s="179"/>
      <c r="AB201" s="178"/>
      <c r="AC201" s="151"/>
      <c r="AD201" s="151"/>
      <c r="AE201" s="151"/>
      <c r="AF201" s="151"/>
      <c r="AG201" s="151"/>
      <c r="AH201" s="260" t="s">
        <v>841</v>
      </c>
      <c r="AI201" s="159"/>
      <c r="AJ201" s="261"/>
    </row>
    <row r="202" spans="1:36" ht="12" hidden="1" customHeight="1">
      <c r="A202" s="97" t="s">
        <v>249</v>
      </c>
      <c r="B202" s="80" t="s">
        <v>1710</v>
      </c>
      <c r="C202" s="81" t="s">
        <v>16</v>
      </c>
      <c r="D202" s="81" t="s">
        <v>45</v>
      </c>
      <c r="E202" s="81" t="s">
        <v>18</v>
      </c>
      <c r="F202" s="95" t="s">
        <v>42</v>
      </c>
      <c r="G202" s="95" t="s">
        <v>1711</v>
      </c>
      <c r="H202" s="76" t="s">
        <v>1712</v>
      </c>
      <c r="I202" s="87" t="s">
        <v>1713</v>
      </c>
      <c r="J202" s="49"/>
      <c r="K202" s="95" t="s">
        <v>507</v>
      </c>
      <c r="L202" s="38" t="s">
        <v>905</v>
      </c>
      <c r="M202" s="258" t="s">
        <v>43</v>
      </c>
      <c r="N202" s="259"/>
      <c r="O202" s="155"/>
      <c r="P202" s="155"/>
      <c r="Q202" s="99" t="s">
        <v>1714</v>
      </c>
      <c r="R202" s="81" t="s">
        <v>1641</v>
      </c>
      <c r="S202" s="95" t="s">
        <v>1715</v>
      </c>
      <c r="T202" s="124" t="s">
        <v>518</v>
      </c>
      <c r="U202" s="147" t="s">
        <v>630</v>
      </c>
      <c r="V202" s="147" t="s">
        <v>1716</v>
      </c>
      <c r="W202" s="143"/>
      <c r="X202" s="97" t="s">
        <v>1644</v>
      </c>
      <c r="Y202" s="97" t="s">
        <v>642</v>
      </c>
      <c r="Z202" s="174"/>
      <c r="AA202" s="179"/>
      <c r="AB202" s="178"/>
      <c r="AC202" s="151"/>
      <c r="AD202" s="151"/>
      <c r="AE202" s="151"/>
      <c r="AF202" s="151"/>
      <c r="AG202" s="151"/>
      <c r="AH202" s="260" t="s">
        <v>838</v>
      </c>
      <c r="AI202" s="159"/>
      <c r="AJ202" s="261"/>
    </row>
    <row r="203" spans="1:36" ht="12" hidden="1" customHeight="1">
      <c r="A203" s="97" t="s">
        <v>249</v>
      </c>
      <c r="B203" s="80" t="s">
        <v>1710</v>
      </c>
      <c r="C203" s="81" t="s">
        <v>16</v>
      </c>
      <c r="D203" s="81" t="s">
        <v>45</v>
      </c>
      <c r="E203" s="81" t="s">
        <v>18</v>
      </c>
      <c r="F203" s="176" t="s">
        <v>42</v>
      </c>
      <c r="G203" s="95" t="s">
        <v>457</v>
      </c>
      <c r="H203" s="76" t="s">
        <v>1717</v>
      </c>
      <c r="I203" s="87" t="s">
        <v>1718</v>
      </c>
      <c r="J203" s="49"/>
      <c r="K203" s="95" t="s">
        <v>507</v>
      </c>
      <c r="L203" s="38" t="s">
        <v>905</v>
      </c>
      <c r="M203" s="258" t="s">
        <v>43</v>
      </c>
      <c r="N203" s="259"/>
      <c r="O203" s="155"/>
      <c r="P203" s="155"/>
      <c r="Q203" s="99" t="s">
        <v>1719</v>
      </c>
      <c r="R203" s="81" t="s">
        <v>1641</v>
      </c>
      <c r="S203" s="194" t="s">
        <v>1715</v>
      </c>
      <c r="T203" s="124" t="s">
        <v>518</v>
      </c>
      <c r="U203" s="156" t="s">
        <v>518</v>
      </c>
      <c r="V203" s="159"/>
      <c r="W203" s="143"/>
      <c r="X203" s="97" t="s">
        <v>1146</v>
      </c>
      <c r="Y203" s="97" t="s">
        <v>642</v>
      </c>
      <c r="Z203" s="169"/>
      <c r="AA203" s="179"/>
      <c r="AB203" s="178"/>
      <c r="AC203" s="151"/>
      <c r="AD203" s="151"/>
      <c r="AE203" s="151"/>
      <c r="AF203" s="151"/>
      <c r="AG203" s="151"/>
      <c r="AH203" s="260" t="s">
        <v>838</v>
      </c>
      <c r="AI203" s="159"/>
      <c r="AJ203" s="261"/>
    </row>
    <row r="204" spans="1:36" ht="12" hidden="1" customHeight="1">
      <c r="A204" s="97" t="s">
        <v>249</v>
      </c>
      <c r="B204" s="80" t="s">
        <v>1710</v>
      </c>
      <c r="C204" s="81" t="s">
        <v>16</v>
      </c>
      <c r="D204" s="81" t="s">
        <v>45</v>
      </c>
      <c r="E204" s="81" t="s">
        <v>18</v>
      </c>
      <c r="F204" s="95" t="s">
        <v>42</v>
      </c>
      <c r="G204" s="95" t="s">
        <v>1720</v>
      </c>
      <c r="H204" s="76" t="s">
        <v>1721</v>
      </c>
      <c r="I204" s="87" t="s">
        <v>1722</v>
      </c>
      <c r="J204" s="49"/>
      <c r="K204" s="95" t="s">
        <v>507</v>
      </c>
      <c r="L204" s="38" t="s">
        <v>523</v>
      </c>
      <c r="M204" s="140" t="s">
        <v>505</v>
      </c>
      <c r="N204" s="142" t="s">
        <v>1723</v>
      </c>
      <c r="O204" s="155"/>
      <c r="P204" s="155"/>
      <c r="Q204" s="99" t="s">
        <v>1724</v>
      </c>
      <c r="R204" s="81" t="s">
        <v>1725</v>
      </c>
      <c r="S204" s="95" t="s">
        <v>1715</v>
      </c>
      <c r="T204" s="124" t="s">
        <v>1032</v>
      </c>
      <c r="U204" s="95" t="s">
        <v>1263</v>
      </c>
      <c r="V204" s="95" t="s">
        <v>1643</v>
      </c>
      <c r="W204" s="143"/>
      <c r="X204" s="97" t="s">
        <v>1726</v>
      </c>
      <c r="Y204" s="97" t="s">
        <v>642</v>
      </c>
      <c r="Z204" s="174"/>
      <c r="AA204" s="180"/>
      <c r="AB204" s="178" t="s">
        <v>500</v>
      </c>
      <c r="AC204" s="52"/>
      <c r="AD204" s="52"/>
      <c r="AE204" s="52"/>
      <c r="AF204" s="52"/>
      <c r="AG204" s="52"/>
      <c r="AH204" s="260" t="s">
        <v>839</v>
      </c>
      <c r="AI204" s="164"/>
      <c r="AJ204" s="263">
        <v>44320</v>
      </c>
    </row>
    <row r="205" spans="1:36" ht="12" hidden="1" customHeight="1">
      <c r="A205" s="97" t="s">
        <v>1727</v>
      </c>
      <c r="B205" s="76" t="s">
        <v>1728</v>
      </c>
      <c r="C205" s="81" t="s">
        <v>16</v>
      </c>
      <c r="D205" s="81" t="s">
        <v>45</v>
      </c>
      <c r="E205" s="81" t="s">
        <v>18</v>
      </c>
      <c r="F205" s="95" t="s">
        <v>42</v>
      </c>
      <c r="G205" s="95" t="s">
        <v>458</v>
      </c>
      <c r="H205" s="76" t="s">
        <v>1728</v>
      </c>
      <c r="I205" s="87" t="s">
        <v>1729</v>
      </c>
      <c r="J205" s="49"/>
      <c r="K205" s="95" t="s">
        <v>507</v>
      </c>
      <c r="L205" s="38" t="s">
        <v>905</v>
      </c>
      <c r="M205" s="140" t="s">
        <v>43</v>
      </c>
      <c r="N205" s="142"/>
      <c r="O205" s="155"/>
      <c r="P205" s="155"/>
      <c r="Q205" s="99" t="s">
        <v>1730</v>
      </c>
      <c r="R205" s="81" t="s">
        <v>1641</v>
      </c>
      <c r="S205" s="95" t="s">
        <v>1715</v>
      </c>
      <c r="T205" s="124" t="s">
        <v>518</v>
      </c>
      <c r="U205" s="156" t="s">
        <v>518</v>
      </c>
      <c r="V205" s="159"/>
      <c r="W205" s="143"/>
      <c r="X205" s="97" t="s">
        <v>1146</v>
      </c>
      <c r="Y205" s="97" t="s">
        <v>642</v>
      </c>
      <c r="Z205" s="169"/>
      <c r="AA205" s="179"/>
      <c r="AB205" s="178"/>
      <c r="AC205" s="52"/>
      <c r="AD205" s="52"/>
      <c r="AE205" s="52"/>
      <c r="AF205" s="52"/>
      <c r="AG205" s="52"/>
      <c r="AH205" s="260" t="s">
        <v>838</v>
      </c>
      <c r="AI205" s="164"/>
      <c r="AJ205" s="276"/>
    </row>
    <row r="206" spans="1:36" ht="12" hidden="1" customHeight="1">
      <c r="A206" s="97" t="s">
        <v>250</v>
      </c>
      <c r="B206" s="76" t="s">
        <v>1731</v>
      </c>
      <c r="C206" s="81" t="s">
        <v>1732</v>
      </c>
      <c r="D206" s="81" t="s">
        <v>45</v>
      </c>
      <c r="E206" s="81" t="s">
        <v>18</v>
      </c>
      <c r="F206" s="95" t="s">
        <v>42</v>
      </c>
      <c r="G206" s="95" t="s">
        <v>459</v>
      </c>
      <c r="H206" s="76" t="s">
        <v>1731</v>
      </c>
      <c r="I206" s="87" t="s">
        <v>1733</v>
      </c>
      <c r="J206" s="49"/>
      <c r="K206" s="95" t="s">
        <v>507</v>
      </c>
      <c r="L206" s="38" t="s">
        <v>905</v>
      </c>
      <c r="M206" s="140" t="s">
        <v>1219</v>
      </c>
      <c r="N206" s="135" t="s">
        <v>1734</v>
      </c>
      <c r="O206" s="155"/>
      <c r="P206" s="155"/>
      <c r="Q206" s="99" t="s">
        <v>1730</v>
      </c>
      <c r="R206" s="81" t="s">
        <v>1641</v>
      </c>
      <c r="S206" s="95" t="s">
        <v>1715</v>
      </c>
      <c r="T206" s="124" t="s">
        <v>518</v>
      </c>
      <c r="U206" s="156" t="s">
        <v>518</v>
      </c>
      <c r="V206" s="159"/>
      <c r="W206" s="143"/>
      <c r="X206" s="97" t="s">
        <v>1146</v>
      </c>
      <c r="Y206" s="97" t="s">
        <v>642</v>
      </c>
      <c r="Z206" s="169"/>
      <c r="AA206" s="179"/>
      <c r="AB206" s="178" t="s">
        <v>500</v>
      </c>
      <c r="AC206" s="52"/>
      <c r="AD206" s="52"/>
      <c r="AE206" s="52"/>
      <c r="AF206" s="52"/>
      <c r="AG206" s="52"/>
      <c r="AH206" s="260" t="s">
        <v>839</v>
      </c>
      <c r="AI206" s="164"/>
      <c r="AJ206" s="263">
        <v>44323</v>
      </c>
    </row>
    <row r="207" spans="1:36" ht="12" hidden="1" customHeight="1">
      <c r="A207" s="97" t="s">
        <v>256</v>
      </c>
      <c r="B207" s="76" t="s">
        <v>1735</v>
      </c>
      <c r="C207" s="81" t="s">
        <v>16</v>
      </c>
      <c r="D207" s="81" t="s">
        <v>45</v>
      </c>
      <c r="E207" s="81" t="s">
        <v>18</v>
      </c>
      <c r="F207" s="95" t="s">
        <v>42</v>
      </c>
      <c r="G207" s="81" t="s">
        <v>463</v>
      </c>
      <c r="H207" s="85" t="s">
        <v>1736</v>
      </c>
      <c r="I207" s="87" t="s">
        <v>1737</v>
      </c>
      <c r="J207" s="49"/>
      <c r="K207" s="95" t="s">
        <v>1738</v>
      </c>
      <c r="L207" s="38" t="s">
        <v>905</v>
      </c>
      <c r="M207" s="140" t="s">
        <v>43</v>
      </c>
      <c r="N207" s="142"/>
      <c r="O207" s="155"/>
      <c r="P207" s="155"/>
      <c r="Q207" s="74" t="s">
        <v>1739</v>
      </c>
      <c r="R207" s="81" t="s">
        <v>1740</v>
      </c>
      <c r="S207" s="81" t="s">
        <v>1741</v>
      </c>
      <c r="T207" s="124" t="s">
        <v>518</v>
      </c>
      <c r="U207" s="156" t="s">
        <v>518</v>
      </c>
      <c r="V207" s="159"/>
      <c r="W207" s="143"/>
      <c r="X207" s="97" t="s">
        <v>1742</v>
      </c>
      <c r="Y207" s="97" t="s">
        <v>648</v>
      </c>
      <c r="Z207" s="169"/>
      <c r="AA207" s="179"/>
      <c r="AB207" s="178"/>
      <c r="AC207" s="52"/>
      <c r="AD207" s="52"/>
      <c r="AE207" s="52"/>
      <c r="AF207" s="52"/>
      <c r="AG207" s="52"/>
      <c r="AH207" s="260" t="s">
        <v>839</v>
      </c>
      <c r="AI207" s="164"/>
      <c r="AJ207" s="276"/>
    </row>
    <row r="208" spans="1:36" ht="12" hidden="1" customHeight="1">
      <c r="A208" s="97" t="s">
        <v>260</v>
      </c>
      <c r="B208" s="76" t="s">
        <v>1743</v>
      </c>
      <c r="C208" s="81" t="s">
        <v>16</v>
      </c>
      <c r="D208" s="81" t="s">
        <v>45</v>
      </c>
      <c r="E208" s="81" t="s">
        <v>18</v>
      </c>
      <c r="F208" s="95" t="s">
        <v>42</v>
      </c>
      <c r="G208" s="95" t="s">
        <v>469</v>
      </c>
      <c r="H208" s="76" t="s">
        <v>1743</v>
      </c>
      <c r="I208" s="87" t="s">
        <v>1744</v>
      </c>
      <c r="J208" s="49"/>
      <c r="K208" s="95" t="s">
        <v>512</v>
      </c>
      <c r="L208" s="38" t="s">
        <v>905</v>
      </c>
      <c r="M208" s="140" t="s">
        <v>43</v>
      </c>
      <c r="N208" s="142"/>
      <c r="O208" s="155"/>
      <c r="P208" s="155"/>
      <c r="Q208" s="99"/>
      <c r="R208" s="81" t="s">
        <v>1641</v>
      </c>
      <c r="S208" s="95" t="s">
        <v>1743</v>
      </c>
      <c r="T208" s="124" t="s">
        <v>518</v>
      </c>
      <c r="U208" s="156" t="s">
        <v>518</v>
      </c>
      <c r="V208" s="159"/>
      <c r="W208" s="143"/>
      <c r="X208" s="97" t="s">
        <v>1155</v>
      </c>
      <c r="Y208" s="97" t="s">
        <v>631</v>
      </c>
      <c r="Z208" s="169"/>
      <c r="AA208" s="179"/>
      <c r="AB208" s="178"/>
      <c r="AC208" s="52"/>
      <c r="AD208" s="52"/>
      <c r="AE208" s="52"/>
      <c r="AF208" s="52"/>
      <c r="AG208" s="52"/>
      <c r="AH208" s="260" t="s">
        <v>838</v>
      </c>
      <c r="AI208" s="164"/>
      <c r="AJ208" s="276"/>
    </row>
    <row r="209" spans="1:36" ht="12" hidden="1" customHeight="1">
      <c r="A209" s="170" t="s">
        <v>254</v>
      </c>
      <c r="B209" s="224" t="s">
        <v>1745</v>
      </c>
      <c r="C209" s="83" t="s">
        <v>16</v>
      </c>
      <c r="D209" s="83" t="s">
        <v>45</v>
      </c>
      <c r="E209" s="83" t="s">
        <v>19</v>
      </c>
      <c r="F209" s="170" t="s">
        <v>42</v>
      </c>
      <c r="G209" s="83" t="s">
        <v>1746</v>
      </c>
      <c r="H209" s="224" t="s">
        <v>1747</v>
      </c>
      <c r="I209" s="94" t="s">
        <v>1748</v>
      </c>
      <c r="J209" s="49"/>
      <c r="K209" s="83" t="s">
        <v>507</v>
      </c>
      <c r="L209" s="48" t="s">
        <v>905</v>
      </c>
      <c r="M209" s="264" t="s">
        <v>44</v>
      </c>
      <c r="N209" s="196" t="s">
        <v>1749</v>
      </c>
      <c r="O209" s="155"/>
      <c r="P209" s="155"/>
      <c r="Q209" s="225" t="s">
        <v>1750</v>
      </c>
      <c r="R209" s="170" t="s">
        <v>1128</v>
      </c>
      <c r="S209" s="83" t="s">
        <v>1745</v>
      </c>
      <c r="T209" s="124" t="s">
        <v>518</v>
      </c>
      <c r="U209" s="156" t="s">
        <v>518</v>
      </c>
      <c r="V209" s="159"/>
      <c r="W209" s="143"/>
      <c r="X209" s="97" t="s">
        <v>914</v>
      </c>
      <c r="Y209" s="97" t="s">
        <v>639</v>
      </c>
      <c r="Z209" s="169"/>
      <c r="AA209" s="180"/>
      <c r="AB209" s="178"/>
      <c r="AC209" s="52"/>
      <c r="AD209" s="52"/>
      <c r="AE209" s="232"/>
      <c r="AF209" s="232"/>
      <c r="AG209" s="232"/>
      <c r="AH209" s="260" t="s">
        <v>839</v>
      </c>
      <c r="AI209" s="249"/>
      <c r="AJ209" s="276"/>
    </row>
    <row r="210" spans="1:36" ht="12" hidden="1" customHeight="1">
      <c r="A210" s="97" t="s">
        <v>253</v>
      </c>
      <c r="B210" s="76" t="s">
        <v>308</v>
      </c>
      <c r="C210" s="81" t="s">
        <v>16</v>
      </c>
      <c r="D210" s="81" t="s">
        <v>45</v>
      </c>
      <c r="E210" s="81" t="s">
        <v>18</v>
      </c>
      <c r="F210" s="95" t="s">
        <v>42</v>
      </c>
      <c r="G210" s="81" t="s">
        <v>1751</v>
      </c>
      <c r="H210" s="76" t="s">
        <v>1752</v>
      </c>
      <c r="I210" s="87" t="s">
        <v>1753</v>
      </c>
      <c r="J210" s="49"/>
      <c r="K210" s="95" t="s">
        <v>507</v>
      </c>
      <c r="L210" s="38" t="s">
        <v>905</v>
      </c>
      <c r="M210" s="140" t="s">
        <v>43</v>
      </c>
      <c r="N210" s="142" t="s">
        <v>1754</v>
      </c>
      <c r="O210" s="155"/>
      <c r="P210" s="155"/>
      <c r="Q210" s="99" t="s">
        <v>1755</v>
      </c>
      <c r="R210" s="97" t="s">
        <v>1128</v>
      </c>
      <c r="S210" s="81" t="s">
        <v>1745</v>
      </c>
      <c r="T210" s="124" t="s">
        <v>518</v>
      </c>
      <c r="U210" s="156" t="s">
        <v>518</v>
      </c>
      <c r="V210" s="159"/>
      <c r="W210" s="143"/>
      <c r="X210" s="97" t="s">
        <v>914</v>
      </c>
      <c r="Y210" s="97" t="s">
        <v>639</v>
      </c>
      <c r="Z210" s="169"/>
      <c r="AA210" s="179"/>
      <c r="AB210" s="178" t="s">
        <v>500</v>
      </c>
      <c r="AC210" s="52"/>
      <c r="AD210" s="52"/>
      <c r="AE210" s="52"/>
      <c r="AF210" s="52"/>
      <c r="AG210" s="52"/>
      <c r="AH210" s="260" t="s">
        <v>839</v>
      </c>
      <c r="AI210" s="164"/>
      <c r="AJ210" s="276"/>
    </row>
    <row r="211" spans="1:36" ht="12" hidden="1" customHeight="1">
      <c r="A211" s="170" t="s">
        <v>1756</v>
      </c>
      <c r="B211" s="223" t="s">
        <v>1757</v>
      </c>
      <c r="C211" s="83" t="s">
        <v>16</v>
      </c>
      <c r="D211" s="83" t="s">
        <v>45</v>
      </c>
      <c r="E211" s="83" t="s">
        <v>19</v>
      </c>
      <c r="F211" s="170" t="s">
        <v>42</v>
      </c>
      <c r="G211" s="83" t="s">
        <v>1758</v>
      </c>
      <c r="H211" s="223" t="s">
        <v>1759</v>
      </c>
      <c r="I211" s="93" t="s">
        <v>1760</v>
      </c>
      <c r="J211" s="49"/>
      <c r="K211" s="83" t="s">
        <v>507</v>
      </c>
      <c r="L211" s="48" t="s">
        <v>905</v>
      </c>
      <c r="M211" s="195" t="s">
        <v>44</v>
      </c>
      <c r="N211" s="196" t="s">
        <v>1754</v>
      </c>
      <c r="O211" s="155"/>
      <c r="P211" s="155"/>
      <c r="Q211" s="143" t="s">
        <v>1761</v>
      </c>
      <c r="R211" s="170" t="s">
        <v>1128</v>
      </c>
      <c r="S211" s="170" t="s">
        <v>1745</v>
      </c>
      <c r="T211" s="124" t="s">
        <v>518</v>
      </c>
      <c r="U211" s="156" t="s">
        <v>518</v>
      </c>
      <c r="V211" s="159"/>
      <c r="W211" s="143"/>
      <c r="X211" s="97" t="s">
        <v>914</v>
      </c>
      <c r="Y211" s="97" t="s">
        <v>639</v>
      </c>
      <c r="Z211" s="169"/>
      <c r="AA211" s="179"/>
      <c r="AB211" s="178"/>
      <c r="AC211" s="52"/>
      <c r="AD211" s="52"/>
      <c r="AE211" s="232"/>
      <c r="AF211" s="232"/>
      <c r="AG211" s="232"/>
      <c r="AH211" s="260" t="s">
        <v>839</v>
      </c>
      <c r="AI211" s="249"/>
      <c r="AJ211" s="276"/>
    </row>
    <row r="212" spans="1:36" ht="12" hidden="1" customHeight="1">
      <c r="A212" s="97" t="s">
        <v>258</v>
      </c>
      <c r="B212" s="76" t="s">
        <v>1515</v>
      </c>
      <c r="C212" s="81" t="s">
        <v>16</v>
      </c>
      <c r="D212" s="81" t="s">
        <v>45</v>
      </c>
      <c r="E212" s="81" t="s">
        <v>18</v>
      </c>
      <c r="F212" s="95" t="s">
        <v>42</v>
      </c>
      <c r="G212" s="81" t="s">
        <v>465</v>
      </c>
      <c r="H212" s="85" t="s">
        <v>1762</v>
      </c>
      <c r="I212" s="87" t="s">
        <v>1763</v>
      </c>
      <c r="J212" s="49"/>
      <c r="K212" s="95" t="s">
        <v>507</v>
      </c>
      <c r="L212" s="38" t="s">
        <v>905</v>
      </c>
      <c r="M212" s="140" t="s">
        <v>43</v>
      </c>
      <c r="N212" s="142"/>
      <c r="O212" s="155"/>
      <c r="P212" s="155"/>
      <c r="Q212" s="78" t="s">
        <v>1764</v>
      </c>
      <c r="R212" s="81" t="s">
        <v>1740</v>
      </c>
      <c r="S212" s="81" t="s">
        <v>1765</v>
      </c>
      <c r="T212" s="124" t="s">
        <v>518</v>
      </c>
      <c r="U212" s="156" t="s">
        <v>518</v>
      </c>
      <c r="V212" s="159"/>
      <c r="W212" s="143"/>
      <c r="X212" s="97" t="s">
        <v>1766</v>
      </c>
      <c r="Y212" s="97" t="s">
        <v>647</v>
      </c>
      <c r="Z212" s="169"/>
      <c r="AA212" s="179"/>
      <c r="AB212" s="178"/>
      <c r="AC212" s="52"/>
      <c r="AD212" s="52"/>
      <c r="AE212" s="52"/>
      <c r="AF212" s="52"/>
      <c r="AG212" s="52"/>
      <c r="AH212" s="260" t="s">
        <v>838</v>
      </c>
      <c r="AI212" s="164"/>
      <c r="AJ212" s="276"/>
    </row>
    <row r="213" spans="1:36" ht="12" hidden="1" customHeight="1">
      <c r="A213" s="97" t="s">
        <v>258</v>
      </c>
      <c r="B213" s="76" t="s">
        <v>1515</v>
      </c>
      <c r="C213" s="81" t="s">
        <v>16</v>
      </c>
      <c r="D213" s="81" t="s">
        <v>45</v>
      </c>
      <c r="E213" s="81" t="s">
        <v>18</v>
      </c>
      <c r="F213" s="103" t="s">
        <v>362</v>
      </c>
      <c r="G213" s="95" t="s">
        <v>1767</v>
      </c>
      <c r="H213" s="100" t="s">
        <v>1768</v>
      </c>
      <c r="I213" s="90" t="s">
        <v>1769</v>
      </c>
      <c r="J213" s="49"/>
      <c r="K213" s="95" t="s">
        <v>507</v>
      </c>
      <c r="L213" s="38" t="s">
        <v>905</v>
      </c>
      <c r="M213" s="140" t="s">
        <v>43</v>
      </c>
      <c r="N213" s="142"/>
      <c r="O213" s="155"/>
      <c r="P213" s="155"/>
      <c r="Q213" s="108" t="s">
        <v>1770</v>
      </c>
      <c r="R213" s="97" t="s">
        <v>1740</v>
      </c>
      <c r="S213" s="97" t="s">
        <v>1743</v>
      </c>
      <c r="T213" s="124" t="s">
        <v>518</v>
      </c>
      <c r="U213" s="156" t="s">
        <v>518</v>
      </c>
      <c r="V213" s="159"/>
      <c r="W213" s="143"/>
      <c r="X213" s="97" t="s">
        <v>1155</v>
      </c>
      <c r="Y213" s="97" t="s">
        <v>631</v>
      </c>
      <c r="Z213" s="169"/>
      <c r="AA213" s="179"/>
      <c r="AB213" s="178"/>
      <c r="AC213" s="52"/>
      <c r="AD213" s="52"/>
      <c r="AE213" s="52"/>
      <c r="AF213" s="52"/>
      <c r="AG213" s="52"/>
      <c r="AH213" s="260" t="s">
        <v>838</v>
      </c>
      <c r="AI213" s="164"/>
      <c r="AJ213" s="276"/>
    </row>
    <row r="214" spans="1:36" ht="12" hidden="1" customHeight="1">
      <c r="A214" s="137" t="s">
        <v>533</v>
      </c>
      <c r="B214" s="125" t="s">
        <v>1771</v>
      </c>
      <c r="C214" s="103" t="s">
        <v>17</v>
      </c>
      <c r="D214" s="103" t="s">
        <v>45</v>
      </c>
      <c r="E214" s="103" t="s">
        <v>18</v>
      </c>
      <c r="F214" s="197" t="s">
        <v>42</v>
      </c>
      <c r="G214" s="103" t="s">
        <v>1772</v>
      </c>
      <c r="H214" s="125" t="s">
        <v>1773</v>
      </c>
      <c r="I214" s="88" t="s">
        <v>1774</v>
      </c>
      <c r="J214" s="107"/>
      <c r="K214" s="109" t="s">
        <v>1738</v>
      </c>
      <c r="L214" s="103" t="s">
        <v>534</v>
      </c>
      <c r="M214" s="258" t="s">
        <v>43</v>
      </c>
      <c r="N214" s="259" t="s">
        <v>1775</v>
      </c>
      <c r="O214" s="110"/>
      <c r="P214" s="110"/>
      <c r="Q214" s="134" t="s">
        <v>1776</v>
      </c>
      <c r="R214" s="81" t="s">
        <v>1777</v>
      </c>
      <c r="S214" s="103" t="s">
        <v>534</v>
      </c>
      <c r="T214" s="124" t="s">
        <v>518</v>
      </c>
      <c r="U214" s="163" t="s">
        <v>518</v>
      </c>
      <c r="V214" s="164"/>
      <c r="W214" s="98"/>
      <c r="X214" s="129" t="s">
        <v>914</v>
      </c>
      <c r="Y214" s="97" t="s">
        <v>1409</v>
      </c>
      <c r="Z214" s="169"/>
      <c r="AA214" s="182"/>
      <c r="AB214" s="178" t="s">
        <v>500</v>
      </c>
      <c r="AC214" s="52"/>
      <c r="AD214" s="52"/>
      <c r="AE214" s="52"/>
      <c r="AF214" s="52"/>
      <c r="AG214" s="52"/>
      <c r="AH214" s="260" t="s">
        <v>839</v>
      </c>
      <c r="AI214" s="164"/>
      <c r="AJ214" s="276"/>
    </row>
    <row r="215" spans="1:36" ht="12" hidden="1" customHeight="1">
      <c r="A215" s="137" t="s">
        <v>533</v>
      </c>
      <c r="B215" s="125" t="s">
        <v>1771</v>
      </c>
      <c r="C215" s="103" t="s">
        <v>17</v>
      </c>
      <c r="D215" s="103" t="s">
        <v>45</v>
      </c>
      <c r="E215" s="103" t="s">
        <v>18</v>
      </c>
      <c r="F215" s="197" t="s">
        <v>362</v>
      </c>
      <c r="G215" s="103" t="s">
        <v>1778</v>
      </c>
      <c r="H215" s="125" t="s">
        <v>1779</v>
      </c>
      <c r="I215" s="88" t="s">
        <v>1780</v>
      </c>
      <c r="J215" s="107"/>
      <c r="K215" s="109" t="s">
        <v>1738</v>
      </c>
      <c r="L215" s="103" t="s">
        <v>534</v>
      </c>
      <c r="M215" s="258" t="s">
        <v>43</v>
      </c>
      <c r="N215" s="259" t="s">
        <v>1781</v>
      </c>
      <c r="O215" s="110"/>
      <c r="P215" s="110"/>
      <c r="Q215" s="134" t="s">
        <v>1776</v>
      </c>
      <c r="R215" s="81" t="s">
        <v>1777</v>
      </c>
      <c r="S215" s="103" t="s">
        <v>534</v>
      </c>
      <c r="T215" s="124" t="s">
        <v>518</v>
      </c>
      <c r="U215" s="163" t="s">
        <v>518</v>
      </c>
      <c r="V215" s="164"/>
      <c r="W215" s="98"/>
      <c r="X215" s="129" t="s">
        <v>914</v>
      </c>
      <c r="Y215" s="97" t="s">
        <v>1409</v>
      </c>
      <c r="Z215" s="169"/>
      <c r="AA215" s="182"/>
      <c r="AB215" s="178" t="s">
        <v>500</v>
      </c>
      <c r="AC215" s="52"/>
      <c r="AD215" s="52"/>
      <c r="AE215" s="52"/>
      <c r="AF215" s="52"/>
      <c r="AG215" s="52"/>
      <c r="AH215" s="260" t="s">
        <v>839</v>
      </c>
      <c r="AI215" s="164"/>
      <c r="AJ215" s="276"/>
    </row>
    <row r="216" spans="1:36" ht="12" hidden="1" customHeight="1">
      <c r="A216" s="137" t="s">
        <v>535</v>
      </c>
      <c r="B216" s="125" t="s">
        <v>1782</v>
      </c>
      <c r="C216" s="103" t="s">
        <v>17</v>
      </c>
      <c r="D216" s="103" t="s">
        <v>45</v>
      </c>
      <c r="E216" s="103" t="s">
        <v>18</v>
      </c>
      <c r="F216" s="197" t="s">
        <v>42</v>
      </c>
      <c r="G216" s="103" t="s">
        <v>1783</v>
      </c>
      <c r="H216" s="125" t="s">
        <v>1784</v>
      </c>
      <c r="I216" s="88" t="s">
        <v>1785</v>
      </c>
      <c r="J216" s="107"/>
      <c r="K216" s="109" t="s">
        <v>1738</v>
      </c>
      <c r="L216" s="103" t="s">
        <v>534</v>
      </c>
      <c r="M216" s="258" t="s">
        <v>43</v>
      </c>
      <c r="N216" s="259" t="s">
        <v>1786</v>
      </c>
      <c r="O216" s="110"/>
      <c r="P216" s="155"/>
      <c r="Q216" s="134" t="s">
        <v>1776</v>
      </c>
      <c r="R216" s="81" t="s">
        <v>1777</v>
      </c>
      <c r="S216" s="103" t="s">
        <v>534</v>
      </c>
      <c r="T216" s="124" t="s">
        <v>518</v>
      </c>
      <c r="U216" s="163" t="s">
        <v>518</v>
      </c>
      <c r="V216" s="164"/>
      <c r="W216" s="98"/>
      <c r="X216" s="129" t="s">
        <v>914</v>
      </c>
      <c r="Y216" s="97" t="s">
        <v>1409</v>
      </c>
      <c r="Z216" s="169"/>
      <c r="AA216" s="182"/>
      <c r="AB216" s="178" t="s">
        <v>500</v>
      </c>
      <c r="AC216" s="52"/>
      <c r="AD216" s="52"/>
      <c r="AE216" s="52"/>
      <c r="AF216" s="52"/>
      <c r="AG216" s="52"/>
      <c r="AH216" s="260" t="s">
        <v>839</v>
      </c>
      <c r="AI216" s="164"/>
      <c r="AJ216" s="276"/>
    </row>
    <row r="217" spans="1:36" ht="12" hidden="1" customHeight="1">
      <c r="A217" s="137" t="s">
        <v>1556</v>
      </c>
      <c r="B217" s="107" t="s">
        <v>1787</v>
      </c>
      <c r="C217" s="103" t="s">
        <v>17</v>
      </c>
      <c r="D217" s="103" t="s">
        <v>45</v>
      </c>
      <c r="E217" s="103" t="s">
        <v>18</v>
      </c>
      <c r="F217" s="131" t="s">
        <v>539</v>
      </c>
      <c r="G217" s="103" t="s">
        <v>1788</v>
      </c>
      <c r="H217" s="111" t="s">
        <v>1787</v>
      </c>
      <c r="I217" s="88" t="s">
        <v>1789</v>
      </c>
      <c r="J217" s="107"/>
      <c r="K217" s="109" t="s">
        <v>1738</v>
      </c>
      <c r="L217" s="103" t="s">
        <v>534</v>
      </c>
      <c r="M217" s="258" t="s">
        <v>43</v>
      </c>
      <c r="N217" s="259" t="s">
        <v>1790</v>
      </c>
      <c r="O217" s="110"/>
      <c r="P217" s="110"/>
      <c r="Q217" s="134" t="s">
        <v>1776</v>
      </c>
      <c r="R217" s="81" t="s">
        <v>1777</v>
      </c>
      <c r="S217" s="103" t="s">
        <v>534</v>
      </c>
      <c r="T217" s="124" t="s">
        <v>518</v>
      </c>
      <c r="U217" s="163" t="s">
        <v>518</v>
      </c>
      <c r="V217" s="164"/>
      <c r="W217" s="98"/>
      <c r="X217" s="129" t="s">
        <v>914</v>
      </c>
      <c r="Y217" s="97" t="s">
        <v>1409</v>
      </c>
      <c r="Z217" s="169"/>
      <c r="AA217" s="182"/>
      <c r="AB217" s="178" t="s">
        <v>500</v>
      </c>
      <c r="AC217" s="52"/>
      <c r="AD217" s="52"/>
      <c r="AE217" s="52"/>
      <c r="AF217" s="52"/>
      <c r="AG217" s="52"/>
      <c r="AH217" s="260" t="s">
        <v>839</v>
      </c>
      <c r="AI217" s="164"/>
      <c r="AJ217" s="276"/>
    </row>
    <row r="218" spans="1:36" ht="12" hidden="1" customHeight="1">
      <c r="A218" s="195" t="s">
        <v>568</v>
      </c>
      <c r="B218" s="195" t="s">
        <v>1791</v>
      </c>
      <c r="C218" s="195" t="s">
        <v>17</v>
      </c>
      <c r="D218" s="195" t="s">
        <v>45</v>
      </c>
      <c r="E218" s="195" t="s">
        <v>19</v>
      </c>
      <c r="F218" s="233" t="s">
        <v>42</v>
      </c>
      <c r="G218" s="195" t="s">
        <v>1792</v>
      </c>
      <c r="H218" s="166" t="s">
        <v>1791</v>
      </c>
      <c r="I218" s="234" t="s">
        <v>1793</v>
      </c>
      <c r="J218" s="49"/>
      <c r="K218" s="195" t="s">
        <v>1794</v>
      </c>
      <c r="L218" s="195" t="s">
        <v>1795</v>
      </c>
      <c r="M218" s="266" t="s">
        <v>44</v>
      </c>
      <c r="N218" s="275" t="s">
        <v>1796</v>
      </c>
      <c r="O218" s="235"/>
      <c r="P218" s="235"/>
      <c r="Q218" s="235" t="s">
        <v>1797</v>
      </c>
      <c r="R218" s="170" t="s">
        <v>1798</v>
      </c>
      <c r="S218" s="170" t="s">
        <v>1799</v>
      </c>
      <c r="T218" s="124" t="s">
        <v>518</v>
      </c>
      <c r="U218" s="163" t="s">
        <v>518</v>
      </c>
      <c r="V218" s="164"/>
      <c r="W218" s="98"/>
      <c r="X218" s="129" t="s">
        <v>1800</v>
      </c>
      <c r="Y218" s="97" t="s">
        <v>1409</v>
      </c>
      <c r="Z218" s="169"/>
      <c r="AA218" s="182"/>
      <c r="AB218" s="178"/>
      <c r="AC218" s="52"/>
      <c r="AD218" s="52"/>
      <c r="AE218" s="232"/>
      <c r="AF218" s="232"/>
      <c r="AG218" s="232"/>
      <c r="AH218" s="260" t="s">
        <v>843</v>
      </c>
      <c r="AI218" s="249"/>
      <c r="AJ218" s="276"/>
    </row>
    <row r="219" spans="1:36" ht="12" hidden="1" customHeight="1">
      <c r="A219" s="109" t="s">
        <v>569</v>
      </c>
      <c r="B219" s="103" t="s">
        <v>1801</v>
      </c>
      <c r="C219" s="103" t="s">
        <v>16</v>
      </c>
      <c r="D219" s="103" t="s">
        <v>45</v>
      </c>
      <c r="E219" s="103" t="s">
        <v>18</v>
      </c>
      <c r="F219" s="131" t="s">
        <v>42</v>
      </c>
      <c r="G219" s="103" t="s">
        <v>1802</v>
      </c>
      <c r="H219" s="103" t="s">
        <v>1801</v>
      </c>
      <c r="I219" s="136" t="s">
        <v>1803</v>
      </c>
      <c r="J219" s="37"/>
      <c r="K219" s="103" t="s">
        <v>1794</v>
      </c>
      <c r="L219" s="103" t="s">
        <v>1795</v>
      </c>
      <c r="M219" s="258" t="s">
        <v>43</v>
      </c>
      <c r="N219" s="269" t="s">
        <v>1804</v>
      </c>
      <c r="O219" s="139"/>
      <c r="P219" s="139"/>
      <c r="Q219" s="110" t="s">
        <v>826</v>
      </c>
      <c r="R219" s="134" t="s">
        <v>1798</v>
      </c>
      <c r="S219" s="97" t="s">
        <v>1799</v>
      </c>
      <c r="T219" s="124" t="s">
        <v>518</v>
      </c>
      <c r="U219" s="163" t="s">
        <v>518</v>
      </c>
      <c r="V219" s="164"/>
      <c r="W219" s="98"/>
      <c r="X219" s="129" t="s">
        <v>1805</v>
      </c>
      <c r="Y219" s="97" t="s">
        <v>1409</v>
      </c>
      <c r="Z219" s="169"/>
      <c r="AA219" s="182"/>
      <c r="AB219" s="178"/>
      <c r="AC219" s="52"/>
      <c r="AD219" s="52"/>
      <c r="AE219" s="52"/>
      <c r="AF219" s="52"/>
      <c r="AG219" s="52"/>
      <c r="AH219" s="260" t="s">
        <v>843</v>
      </c>
      <c r="AI219" s="164"/>
      <c r="AJ219" s="276"/>
    </row>
    <row r="220" spans="1:36" ht="12" hidden="1" customHeight="1">
      <c r="A220" s="109" t="s">
        <v>571</v>
      </c>
      <c r="B220" s="103" t="s">
        <v>1806</v>
      </c>
      <c r="C220" s="103" t="s">
        <v>17</v>
      </c>
      <c r="D220" s="103" t="s">
        <v>45</v>
      </c>
      <c r="E220" s="103" t="s">
        <v>18</v>
      </c>
      <c r="F220" s="131" t="s">
        <v>42</v>
      </c>
      <c r="G220" s="103" t="s">
        <v>1807</v>
      </c>
      <c r="H220" s="103" t="s">
        <v>572</v>
      </c>
      <c r="I220" s="135" t="s">
        <v>1808</v>
      </c>
      <c r="J220" s="37"/>
      <c r="K220" s="103" t="s">
        <v>1794</v>
      </c>
      <c r="L220" s="103" t="s">
        <v>1795</v>
      </c>
      <c r="M220" s="258" t="s">
        <v>43</v>
      </c>
      <c r="N220" s="259" t="s">
        <v>1809</v>
      </c>
      <c r="O220" s="139"/>
      <c r="P220" s="139"/>
      <c r="Q220" s="221" t="s">
        <v>1810</v>
      </c>
      <c r="R220" s="134" t="s">
        <v>1798</v>
      </c>
      <c r="S220" s="97" t="s">
        <v>1799</v>
      </c>
      <c r="T220" s="124" t="s">
        <v>518</v>
      </c>
      <c r="U220" s="163" t="s">
        <v>518</v>
      </c>
      <c r="V220" s="164"/>
      <c r="W220" s="98"/>
      <c r="X220" s="129" t="s">
        <v>1805</v>
      </c>
      <c r="Y220" s="97" t="s">
        <v>1409</v>
      </c>
      <c r="Z220" s="169"/>
      <c r="AA220" s="182"/>
      <c r="AB220" s="178"/>
      <c r="AC220" s="52"/>
      <c r="AD220" s="52"/>
      <c r="AE220" s="52"/>
      <c r="AF220" s="52"/>
      <c r="AG220" s="52"/>
      <c r="AH220" s="260" t="s">
        <v>843</v>
      </c>
      <c r="AI220" s="164"/>
      <c r="AJ220" s="276"/>
    </row>
    <row r="221" spans="1:36" ht="12" hidden="1" customHeight="1">
      <c r="A221" s="109" t="s">
        <v>571</v>
      </c>
      <c r="B221" s="103" t="s">
        <v>1806</v>
      </c>
      <c r="C221" s="103" t="s">
        <v>17</v>
      </c>
      <c r="D221" s="103" t="s">
        <v>45</v>
      </c>
      <c r="E221" s="103" t="s">
        <v>18</v>
      </c>
      <c r="F221" s="131" t="s">
        <v>42</v>
      </c>
      <c r="G221" s="103" t="s">
        <v>574</v>
      </c>
      <c r="H221" s="103" t="s">
        <v>1811</v>
      </c>
      <c r="I221" s="135" t="s">
        <v>1812</v>
      </c>
      <c r="J221" s="37"/>
      <c r="K221" s="103" t="s">
        <v>1794</v>
      </c>
      <c r="L221" s="103" t="s">
        <v>1795</v>
      </c>
      <c r="M221" s="258" t="s">
        <v>43</v>
      </c>
      <c r="N221" s="259" t="s">
        <v>1813</v>
      </c>
      <c r="O221" s="139"/>
      <c r="P221" s="139"/>
      <c r="Q221" s="222" t="s">
        <v>1814</v>
      </c>
      <c r="R221" s="134" t="s">
        <v>1798</v>
      </c>
      <c r="S221" s="97" t="s">
        <v>1799</v>
      </c>
      <c r="T221" s="124" t="s">
        <v>518</v>
      </c>
      <c r="U221" s="163" t="s">
        <v>518</v>
      </c>
      <c r="V221" s="164"/>
      <c r="W221" s="98"/>
      <c r="X221" s="129" t="s">
        <v>1805</v>
      </c>
      <c r="Y221" s="97" t="s">
        <v>1409</v>
      </c>
      <c r="Z221" s="169"/>
      <c r="AA221" s="182"/>
      <c r="AB221" s="178"/>
      <c r="AC221" s="52"/>
      <c r="AD221" s="52"/>
      <c r="AE221" s="52"/>
      <c r="AF221" s="52"/>
      <c r="AG221" s="52"/>
      <c r="AH221" s="260" t="s">
        <v>843</v>
      </c>
      <c r="AI221" s="164"/>
      <c r="AJ221" s="276"/>
    </row>
    <row r="222" spans="1:36" ht="12" hidden="1" customHeight="1">
      <c r="A222" s="103" t="s">
        <v>575</v>
      </c>
      <c r="B222" s="103" t="s">
        <v>576</v>
      </c>
      <c r="C222" s="103" t="s">
        <v>16</v>
      </c>
      <c r="D222" s="103" t="s">
        <v>45</v>
      </c>
      <c r="E222" s="103" t="s">
        <v>18</v>
      </c>
      <c r="F222" s="131" t="s">
        <v>42</v>
      </c>
      <c r="G222" s="103" t="s">
        <v>1815</v>
      </c>
      <c r="H222" s="103" t="s">
        <v>576</v>
      </c>
      <c r="I222" s="135" t="s">
        <v>1816</v>
      </c>
      <c r="J222" s="37"/>
      <c r="K222" s="103" t="s">
        <v>1794</v>
      </c>
      <c r="L222" s="103" t="s">
        <v>577</v>
      </c>
      <c r="M222" s="258" t="s">
        <v>43</v>
      </c>
      <c r="N222" s="269" t="s">
        <v>1817</v>
      </c>
      <c r="O222" s="139"/>
      <c r="P222" s="139"/>
      <c r="Q222" s="110" t="s">
        <v>825</v>
      </c>
      <c r="R222" s="134" t="s">
        <v>1798</v>
      </c>
      <c r="S222" s="97" t="s">
        <v>1799</v>
      </c>
      <c r="T222" s="124" t="s">
        <v>518</v>
      </c>
      <c r="U222" s="163" t="s">
        <v>518</v>
      </c>
      <c r="V222" s="164"/>
      <c r="W222" s="179"/>
      <c r="X222" s="129" t="s">
        <v>1805</v>
      </c>
      <c r="Y222" s="97" t="s">
        <v>1409</v>
      </c>
      <c r="Z222" s="169"/>
      <c r="AA222" s="182"/>
      <c r="AB222" s="178"/>
      <c r="AC222" s="52"/>
      <c r="AD222" s="52"/>
      <c r="AE222" s="52"/>
      <c r="AF222" s="52"/>
      <c r="AG222" s="52"/>
      <c r="AH222" s="260" t="s">
        <v>843</v>
      </c>
      <c r="AI222" s="164"/>
      <c r="AJ222" s="276"/>
    </row>
    <row r="223" spans="1:36" ht="12" hidden="1" customHeight="1">
      <c r="A223" s="103" t="s">
        <v>578</v>
      </c>
      <c r="B223" s="132" t="s">
        <v>1818</v>
      </c>
      <c r="C223" s="103" t="s">
        <v>16</v>
      </c>
      <c r="D223" s="103" t="s">
        <v>45</v>
      </c>
      <c r="E223" s="103" t="s">
        <v>18</v>
      </c>
      <c r="F223" s="131" t="s">
        <v>362</v>
      </c>
      <c r="G223" s="103" t="s">
        <v>1819</v>
      </c>
      <c r="H223" s="132" t="s">
        <v>1818</v>
      </c>
      <c r="I223" s="135" t="s">
        <v>1820</v>
      </c>
      <c r="J223" s="37"/>
      <c r="K223" s="103" t="s">
        <v>1794</v>
      </c>
      <c r="L223" s="103" t="s">
        <v>577</v>
      </c>
      <c r="M223" s="258" t="s">
        <v>505</v>
      </c>
      <c r="N223" s="269" t="s">
        <v>1821</v>
      </c>
      <c r="O223" s="110"/>
      <c r="P223" s="110"/>
      <c r="Q223" s="110" t="s">
        <v>1822</v>
      </c>
      <c r="R223" s="134" t="s">
        <v>1798</v>
      </c>
      <c r="S223" s="97" t="s">
        <v>1799</v>
      </c>
      <c r="T223" s="124" t="s">
        <v>518</v>
      </c>
      <c r="U223" s="163" t="s">
        <v>518</v>
      </c>
      <c r="V223" s="164"/>
      <c r="W223" s="98"/>
      <c r="X223" s="129" t="s">
        <v>1684</v>
      </c>
      <c r="Y223" s="97" t="s">
        <v>1409</v>
      </c>
      <c r="Z223" s="169"/>
      <c r="AA223" s="182"/>
      <c r="AB223" s="178" t="s">
        <v>500</v>
      </c>
      <c r="AC223" s="52"/>
      <c r="AD223" s="52"/>
      <c r="AE223" s="52"/>
      <c r="AF223" s="52"/>
      <c r="AG223" s="52"/>
      <c r="AH223" s="260" t="s">
        <v>843</v>
      </c>
      <c r="AI223" s="164"/>
      <c r="AJ223" s="263">
        <v>44320</v>
      </c>
    </row>
    <row r="224" spans="1:36" ht="12" hidden="1" customHeight="1">
      <c r="A224" s="109" t="s">
        <v>541</v>
      </c>
      <c r="B224" s="103" t="s">
        <v>542</v>
      </c>
      <c r="C224" s="103" t="s">
        <v>16</v>
      </c>
      <c r="D224" s="103" t="s">
        <v>45</v>
      </c>
      <c r="E224" s="103" t="s">
        <v>18</v>
      </c>
      <c r="F224" s="131" t="s">
        <v>42</v>
      </c>
      <c r="G224" s="103" t="s">
        <v>1823</v>
      </c>
      <c r="H224" s="132" t="s">
        <v>1824</v>
      </c>
      <c r="I224" s="135" t="s">
        <v>1825</v>
      </c>
      <c r="J224" s="37"/>
      <c r="K224" s="103" t="s">
        <v>1794</v>
      </c>
      <c r="L224" s="103" t="s">
        <v>1795</v>
      </c>
      <c r="M224" s="258" t="s">
        <v>43</v>
      </c>
      <c r="N224" s="259" t="s">
        <v>1826</v>
      </c>
      <c r="O224" s="110"/>
      <c r="P224" s="110"/>
      <c r="Q224" s="110" t="s">
        <v>824</v>
      </c>
      <c r="R224" s="134" t="s">
        <v>1798</v>
      </c>
      <c r="S224" s="97" t="s">
        <v>1799</v>
      </c>
      <c r="T224" s="124" t="s">
        <v>518</v>
      </c>
      <c r="U224" s="163" t="s">
        <v>518</v>
      </c>
      <c r="V224" s="164"/>
      <c r="W224" s="98"/>
      <c r="X224" s="129" t="s">
        <v>1805</v>
      </c>
      <c r="Y224" s="97" t="s">
        <v>1409</v>
      </c>
      <c r="Z224" s="169"/>
      <c r="AA224" s="182"/>
      <c r="AB224" s="178"/>
      <c r="AC224" s="52"/>
      <c r="AD224" s="52"/>
      <c r="AE224" s="52"/>
      <c r="AF224" s="52"/>
      <c r="AG224" s="52"/>
      <c r="AH224" s="260" t="s">
        <v>843</v>
      </c>
      <c r="AI224" s="164"/>
      <c r="AJ224" s="276"/>
    </row>
    <row r="225" spans="1:36" ht="12" hidden="1" customHeight="1">
      <c r="A225" s="109" t="s">
        <v>541</v>
      </c>
      <c r="B225" s="103" t="s">
        <v>542</v>
      </c>
      <c r="C225" s="103" t="s">
        <v>16</v>
      </c>
      <c r="D225" s="103" t="s">
        <v>45</v>
      </c>
      <c r="E225" s="103" t="s">
        <v>18</v>
      </c>
      <c r="F225" s="131" t="s">
        <v>42</v>
      </c>
      <c r="G225" s="103" t="s">
        <v>1827</v>
      </c>
      <c r="H225" s="132" t="s">
        <v>543</v>
      </c>
      <c r="I225" s="135" t="s">
        <v>1828</v>
      </c>
      <c r="J225" s="49"/>
      <c r="K225" s="103" t="s">
        <v>1794</v>
      </c>
      <c r="L225" s="103" t="s">
        <v>1795</v>
      </c>
      <c r="M225" s="258" t="s">
        <v>43</v>
      </c>
      <c r="N225" s="259" t="s">
        <v>1829</v>
      </c>
      <c r="O225" s="166"/>
      <c r="P225" s="166"/>
      <c r="Q225" s="110" t="s">
        <v>825</v>
      </c>
      <c r="R225" s="134" t="s">
        <v>1798</v>
      </c>
      <c r="S225" s="97" t="s">
        <v>1799</v>
      </c>
      <c r="T225" s="124" t="s">
        <v>518</v>
      </c>
      <c r="U225" s="163" t="s">
        <v>518</v>
      </c>
      <c r="V225" s="164"/>
      <c r="W225" s="98"/>
      <c r="X225" s="129" t="s">
        <v>1805</v>
      </c>
      <c r="Y225" s="97" t="s">
        <v>1409</v>
      </c>
      <c r="Z225" s="169"/>
      <c r="AA225" s="182"/>
      <c r="AB225" s="178"/>
      <c r="AC225" s="52"/>
      <c r="AD225" s="52"/>
      <c r="AE225" s="52"/>
      <c r="AF225" s="52"/>
      <c r="AG225" s="52"/>
      <c r="AH225" s="260" t="s">
        <v>843</v>
      </c>
      <c r="AI225" s="164"/>
      <c r="AJ225" s="276"/>
    </row>
    <row r="226" spans="1:36" ht="12" hidden="1" customHeight="1">
      <c r="A226" s="109" t="s">
        <v>541</v>
      </c>
      <c r="B226" s="103" t="s">
        <v>542</v>
      </c>
      <c r="C226" s="103" t="s">
        <v>17</v>
      </c>
      <c r="D226" s="103" t="s">
        <v>45</v>
      </c>
      <c r="E226" s="103" t="s">
        <v>18</v>
      </c>
      <c r="F226" s="131" t="s">
        <v>42</v>
      </c>
      <c r="G226" s="103" t="s">
        <v>544</v>
      </c>
      <c r="H226" s="132" t="s">
        <v>1830</v>
      </c>
      <c r="I226" s="135" t="s">
        <v>1831</v>
      </c>
      <c r="J226" s="37"/>
      <c r="K226" s="103" t="s">
        <v>1794</v>
      </c>
      <c r="L226" s="103" t="s">
        <v>1795</v>
      </c>
      <c r="M226" s="258" t="s">
        <v>43</v>
      </c>
      <c r="N226" s="259" t="s">
        <v>1832</v>
      </c>
      <c r="O226" s="110"/>
      <c r="P226" s="110"/>
      <c r="Q226" s="110" t="s">
        <v>1833</v>
      </c>
      <c r="R226" s="134" t="s">
        <v>1798</v>
      </c>
      <c r="S226" s="97" t="s">
        <v>1799</v>
      </c>
      <c r="T226" s="124" t="s">
        <v>518</v>
      </c>
      <c r="U226" s="163" t="s">
        <v>518</v>
      </c>
      <c r="V226" s="164"/>
      <c r="W226" s="98"/>
      <c r="X226" s="129" t="s">
        <v>1805</v>
      </c>
      <c r="Y226" s="97" t="s">
        <v>1409</v>
      </c>
      <c r="Z226" s="169"/>
      <c r="AA226" s="182"/>
      <c r="AB226" s="178"/>
      <c r="AC226" s="52"/>
      <c r="AD226" s="52"/>
      <c r="AE226" s="52"/>
      <c r="AF226" s="52"/>
      <c r="AG226" s="52"/>
      <c r="AH226" s="260" t="s">
        <v>843</v>
      </c>
      <c r="AI226" s="164"/>
      <c r="AJ226" s="276"/>
    </row>
    <row r="227" spans="1:36" ht="12" hidden="1" customHeight="1">
      <c r="A227" s="109" t="s">
        <v>541</v>
      </c>
      <c r="B227" s="103" t="s">
        <v>542</v>
      </c>
      <c r="C227" s="103" t="s">
        <v>16</v>
      </c>
      <c r="D227" s="103" t="s">
        <v>45</v>
      </c>
      <c r="E227" s="103" t="s">
        <v>18</v>
      </c>
      <c r="F227" s="131" t="s">
        <v>42</v>
      </c>
      <c r="G227" s="103" t="s">
        <v>545</v>
      </c>
      <c r="H227" s="132" t="s">
        <v>546</v>
      </c>
      <c r="I227" s="135" t="s">
        <v>1834</v>
      </c>
      <c r="J227" s="37"/>
      <c r="K227" s="103" t="s">
        <v>1794</v>
      </c>
      <c r="L227" s="103" t="s">
        <v>1795</v>
      </c>
      <c r="M227" s="258" t="s">
        <v>43</v>
      </c>
      <c r="N227" s="259"/>
      <c r="O227" s="110"/>
      <c r="P227" s="110"/>
      <c r="Q227" s="110" t="s">
        <v>547</v>
      </c>
      <c r="R227" s="134" t="s">
        <v>1798</v>
      </c>
      <c r="S227" s="97" t="s">
        <v>1799</v>
      </c>
      <c r="T227" s="124" t="s">
        <v>518</v>
      </c>
      <c r="U227" s="163" t="s">
        <v>518</v>
      </c>
      <c r="V227" s="164"/>
      <c r="W227" s="98"/>
      <c r="X227" s="129" t="s">
        <v>1805</v>
      </c>
      <c r="Y227" s="97" t="s">
        <v>1409</v>
      </c>
      <c r="Z227" s="169"/>
      <c r="AA227" s="182"/>
      <c r="AB227" s="178"/>
      <c r="AC227" s="52"/>
      <c r="AD227" s="52"/>
      <c r="AE227" s="52"/>
      <c r="AF227" s="52"/>
      <c r="AG227" s="52"/>
      <c r="AH227" s="260" t="s">
        <v>843</v>
      </c>
      <c r="AI227" s="164"/>
      <c r="AJ227" s="276"/>
    </row>
    <row r="228" spans="1:36" ht="12" hidden="1" customHeight="1">
      <c r="A228" s="109" t="s">
        <v>541</v>
      </c>
      <c r="B228" s="103" t="s">
        <v>542</v>
      </c>
      <c r="C228" s="103" t="s">
        <v>17</v>
      </c>
      <c r="D228" s="103" t="s">
        <v>45</v>
      </c>
      <c r="E228" s="103" t="s">
        <v>18</v>
      </c>
      <c r="F228" s="131" t="s">
        <v>42</v>
      </c>
      <c r="G228" s="103" t="s">
        <v>548</v>
      </c>
      <c r="H228" s="132" t="s">
        <v>1835</v>
      </c>
      <c r="I228" s="135" t="s">
        <v>1836</v>
      </c>
      <c r="J228" s="37"/>
      <c r="K228" s="103" t="s">
        <v>1794</v>
      </c>
      <c r="L228" s="103" t="s">
        <v>1795</v>
      </c>
      <c r="M228" s="258" t="s">
        <v>43</v>
      </c>
      <c r="N228" s="259" t="s">
        <v>1837</v>
      </c>
      <c r="O228" s="110"/>
      <c r="P228" s="110"/>
      <c r="Q228" s="110" t="s">
        <v>1838</v>
      </c>
      <c r="R228" s="134" t="s">
        <v>1798</v>
      </c>
      <c r="S228" s="97" t="s">
        <v>1799</v>
      </c>
      <c r="T228" s="124" t="s">
        <v>518</v>
      </c>
      <c r="U228" s="163" t="s">
        <v>518</v>
      </c>
      <c r="V228" s="164"/>
      <c r="W228" s="98"/>
      <c r="X228" s="129" t="s">
        <v>1805</v>
      </c>
      <c r="Y228" s="97" t="s">
        <v>1409</v>
      </c>
      <c r="Z228" s="169"/>
      <c r="AA228" s="182"/>
      <c r="AB228" s="178"/>
      <c r="AC228" s="52"/>
      <c r="AD228" s="52"/>
      <c r="AE228" s="52"/>
      <c r="AF228" s="52"/>
      <c r="AG228" s="52"/>
      <c r="AH228" s="260" t="s">
        <v>843</v>
      </c>
      <c r="AI228" s="164"/>
      <c r="AJ228" s="276"/>
    </row>
    <row r="229" spans="1:36" ht="12" hidden="1" customHeight="1">
      <c r="A229" s="109" t="s">
        <v>541</v>
      </c>
      <c r="B229" s="103" t="s">
        <v>542</v>
      </c>
      <c r="C229" s="103" t="s">
        <v>17</v>
      </c>
      <c r="D229" s="103" t="s">
        <v>45</v>
      </c>
      <c r="E229" s="103" t="s">
        <v>18</v>
      </c>
      <c r="F229" s="131" t="s">
        <v>42</v>
      </c>
      <c r="G229" s="103" t="s">
        <v>549</v>
      </c>
      <c r="H229" s="132" t="s">
        <v>1839</v>
      </c>
      <c r="I229" s="135" t="s">
        <v>1840</v>
      </c>
      <c r="J229" s="37"/>
      <c r="K229" s="103" t="s">
        <v>1794</v>
      </c>
      <c r="L229" s="103" t="s">
        <v>1795</v>
      </c>
      <c r="M229" s="140" t="s">
        <v>43</v>
      </c>
      <c r="N229" s="259" t="s">
        <v>1841</v>
      </c>
      <c r="O229" s="110"/>
      <c r="P229" s="110"/>
      <c r="Q229" s="110" t="s">
        <v>1842</v>
      </c>
      <c r="R229" s="134" t="s">
        <v>1798</v>
      </c>
      <c r="S229" s="97" t="s">
        <v>1799</v>
      </c>
      <c r="T229" s="124" t="s">
        <v>1032</v>
      </c>
      <c r="U229" s="163" t="s">
        <v>518</v>
      </c>
      <c r="V229" s="164"/>
      <c r="W229" s="98"/>
      <c r="X229" s="129" t="s">
        <v>1805</v>
      </c>
      <c r="Y229" s="97" t="s">
        <v>1409</v>
      </c>
      <c r="Z229" s="169"/>
      <c r="AA229" s="182"/>
      <c r="AB229" s="178"/>
      <c r="AC229" s="52"/>
      <c r="AD229" s="52"/>
      <c r="AE229" s="52"/>
      <c r="AF229" s="52"/>
      <c r="AG229" s="52"/>
      <c r="AH229" s="260" t="s">
        <v>843</v>
      </c>
      <c r="AI229" s="164"/>
      <c r="AJ229" s="276"/>
    </row>
    <row r="230" spans="1:36" ht="12" hidden="1" customHeight="1">
      <c r="A230" s="109" t="s">
        <v>541</v>
      </c>
      <c r="B230" s="103" t="s">
        <v>542</v>
      </c>
      <c r="C230" s="103" t="s">
        <v>16</v>
      </c>
      <c r="D230" s="103" t="s">
        <v>45</v>
      </c>
      <c r="E230" s="103" t="s">
        <v>18</v>
      </c>
      <c r="F230" s="131" t="s">
        <v>42</v>
      </c>
      <c r="G230" s="103" t="s">
        <v>550</v>
      </c>
      <c r="H230" s="132" t="s">
        <v>1843</v>
      </c>
      <c r="I230" s="135" t="s">
        <v>1844</v>
      </c>
      <c r="J230" s="37"/>
      <c r="K230" s="103" t="s">
        <v>1794</v>
      </c>
      <c r="L230" s="103" t="s">
        <v>1795</v>
      </c>
      <c r="M230" s="258" t="s">
        <v>43</v>
      </c>
      <c r="N230" s="259" t="s">
        <v>1845</v>
      </c>
      <c r="O230" s="110"/>
      <c r="P230" s="110"/>
      <c r="Q230" s="110" t="s">
        <v>1846</v>
      </c>
      <c r="R230" s="134" t="s">
        <v>1798</v>
      </c>
      <c r="S230" s="97" t="s">
        <v>1799</v>
      </c>
      <c r="T230" s="124" t="s">
        <v>518</v>
      </c>
      <c r="U230" s="163" t="s">
        <v>518</v>
      </c>
      <c r="V230" s="164"/>
      <c r="W230" s="98"/>
      <c r="X230" s="129" t="s">
        <v>1805</v>
      </c>
      <c r="Y230" s="97" t="s">
        <v>1409</v>
      </c>
      <c r="Z230" s="169"/>
      <c r="AA230" s="182"/>
      <c r="AB230" s="178"/>
      <c r="AC230" s="52"/>
      <c r="AD230" s="52"/>
      <c r="AE230" s="52"/>
      <c r="AF230" s="52"/>
      <c r="AG230" s="52"/>
      <c r="AH230" s="260" t="s">
        <v>843</v>
      </c>
      <c r="AI230" s="164"/>
      <c r="AJ230" s="276"/>
    </row>
    <row r="231" spans="1:36" ht="12" hidden="1" customHeight="1">
      <c r="A231" s="109" t="s">
        <v>541</v>
      </c>
      <c r="B231" s="103" t="s">
        <v>542</v>
      </c>
      <c r="C231" s="103" t="s">
        <v>17</v>
      </c>
      <c r="D231" s="103" t="s">
        <v>45</v>
      </c>
      <c r="E231" s="103" t="s">
        <v>18</v>
      </c>
      <c r="F231" s="131" t="s">
        <v>42</v>
      </c>
      <c r="G231" s="103" t="s">
        <v>551</v>
      </c>
      <c r="H231" s="132" t="s">
        <v>552</v>
      </c>
      <c r="I231" s="135" t="s">
        <v>1847</v>
      </c>
      <c r="J231" s="37"/>
      <c r="K231" s="103" t="s">
        <v>1794</v>
      </c>
      <c r="L231" s="103" t="s">
        <v>1795</v>
      </c>
      <c r="M231" s="258" t="s">
        <v>43</v>
      </c>
      <c r="N231" s="259" t="s">
        <v>1848</v>
      </c>
      <c r="O231" s="110"/>
      <c r="P231" s="110"/>
      <c r="Q231" s="110" t="s">
        <v>1849</v>
      </c>
      <c r="R231" s="134" t="s">
        <v>1798</v>
      </c>
      <c r="S231" s="97" t="s">
        <v>1799</v>
      </c>
      <c r="T231" s="124" t="s">
        <v>518</v>
      </c>
      <c r="U231" s="163" t="s">
        <v>518</v>
      </c>
      <c r="V231" s="164"/>
      <c r="W231" s="98"/>
      <c r="X231" s="129" t="s">
        <v>1805</v>
      </c>
      <c r="Y231" s="97" t="s">
        <v>1409</v>
      </c>
      <c r="Z231" s="169"/>
      <c r="AA231" s="182"/>
      <c r="AB231" s="178"/>
      <c r="AC231" s="52"/>
      <c r="AD231" s="52"/>
      <c r="AE231" s="52"/>
      <c r="AF231" s="52"/>
      <c r="AG231" s="52"/>
      <c r="AH231" s="260" t="s">
        <v>843</v>
      </c>
      <c r="AI231" s="164"/>
      <c r="AJ231" s="276"/>
    </row>
    <row r="232" spans="1:36" ht="12" hidden="1" customHeight="1">
      <c r="A232" s="109" t="s">
        <v>541</v>
      </c>
      <c r="B232" s="103" t="s">
        <v>542</v>
      </c>
      <c r="C232" s="103" t="s">
        <v>17</v>
      </c>
      <c r="D232" s="103" t="s">
        <v>45</v>
      </c>
      <c r="E232" s="103" t="s">
        <v>18</v>
      </c>
      <c r="F232" s="131" t="s">
        <v>42</v>
      </c>
      <c r="G232" s="103" t="s">
        <v>553</v>
      </c>
      <c r="H232" s="132" t="s">
        <v>554</v>
      </c>
      <c r="I232" s="135" t="s">
        <v>1850</v>
      </c>
      <c r="J232" s="37"/>
      <c r="K232" s="103" t="s">
        <v>1794</v>
      </c>
      <c r="L232" s="103" t="s">
        <v>1795</v>
      </c>
      <c r="M232" s="258" t="s">
        <v>43</v>
      </c>
      <c r="N232" s="259" t="s">
        <v>1851</v>
      </c>
      <c r="O232" s="110"/>
      <c r="P232" s="110"/>
      <c r="Q232" s="110" t="s">
        <v>1849</v>
      </c>
      <c r="R232" s="134" t="s">
        <v>1798</v>
      </c>
      <c r="S232" s="97" t="s">
        <v>1799</v>
      </c>
      <c r="T232" s="124" t="s">
        <v>518</v>
      </c>
      <c r="U232" s="163" t="s">
        <v>518</v>
      </c>
      <c r="V232" s="164"/>
      <c r="W232" s="98"/>
      <c r="X232" s="129" t="s">
        <v>1805</v>
      </c>
      <c r="Y232" s="97" t="s">
        <v>1409</v>
      </c>
      <c r="Z232" s="169"/>
      <c r="AA232" s="182"/>
      <c r="AB232" s="178"/>
      <c r="AC232" s="52"/>
      <c r="AD232" s="52"/>
      <c r="AE232" s="52"/>
      <c r="AF232" s="52"/>
      <c r="AG232" s="52"/>
      <c r="AH232" s="260" t="s">
        <v>843</v>
      </c>
      <c r="AI232" s="164"/>
      <c r="AJ232" s="276"/>
    </row>
    <row r="233" spans="1:36" ht="12" hidden="1" customHeight="1">
      <c r="A233" s="109" t="s">
        <v>541</v>
      </c>
      <c r="B233" s="103" t="s">
        <v>542</v>
      </c>
      <c r="C233" s="103" t="s">
        <v>17</v>
      </c>
      <c r="D233" s="103" t="s">
        <v>45</v>
      </c>
      <c r="E233" s="103" t="s">
        <v>18</v>
      </c>
      <c r="F233" s="131" t="s">
        <v>42</v>
      </c>
      <c r="G233" s="103" t="s">
        <v>555</v>
      </c>
      <c r="H233" s="132" t="s">
        <v>556</v>
      </c>
      <c r="I233" s="135" t="s">
        <v>1852</v>
      </c>
      <c r="J233" s="37"/>
      <c r="K233" s="103" t="s">
        <v>1794</v>
      </c>
      <c r="L233" s="103" t="s">
        <v>1795</v>
      </c>
      <c r="M233" s="258" t="s">
        <v>43</v>
      </c>
      <c r="N233" s="259" t="s">
        <v>1853</v>
      </c>
      <c r="O233" s="110"/>
      <c r="P233" s="110"/>
      <c r="Q233" s="110" t="s">
        <v>1854</v>
      </c>
      <c r="R233" s="134" t="s">
        <v>1798</v>
      </c>
      <c r="S233" s="97" t="s">
        <v>1799</v>
      </c>
      <c r="T233" s="124" t="s">
        <v>518</v>
      </c>
      <c r="U233" s="163" t="s">
        <v>518</v>
      </c>
      <c r="V233" s="164"/>
      <c r="W233" s="98"/>
      <c r="X233" s="129" t="s">
        <v>1805</v>
      </c>
      <c r="Y233" s="97" t="s">
        <v>1409</v>
      </c>
      <c r="Z233" s="169"/>
      <c r="AA233" s="182"/>
      <c r="AB233" s="178"/>
      <c r="AC233" s="52"/>
      <c r="AD233" s="52"/>
      <c r="AE233" s="52"/>
      <c r="AF233" s="52"/>
      <c r="AG233" s="52"/>
      <c r="AH233" s="260" t="s">
        <v>843</v>
      </c>
      <c r="AI233" s="164"/>
      <c r="AJ233" s="276"/>
    </row>
    <row r="234" spans="1:36" ht="12" hidden="1" customHeight="1">
      <c r="A234" s="109" t="s">
        <v>541</v>
      </c>
      <c r="B234" s="103" t="s">
        <v>542</v>
      </c>
      <c r="C234" s="103" t="s">
        <v>17</v>
      </c>
      <c r="D234" s="103" t="s">
        <v>45</v>
      </c>
      <c r="E234" s="103" t="s">
        <v>18</v>
      </c>
      <c r="F234" s="131" t="s">
        <v>42</v>
      </c>
      <c r="G234" s="103" t="s">
        <v>557</v>
      </c>
      <c r="H234" s="132" t="s">
        <v>558</v>
      </c>
      <c r="I234" s="135" t="s">
        <v>1855</v>
      </c>
      <c r="J234" s="37"/>
      <c r="K234" s="103" t="s">
        <v>1794</v>
      </c>
      <c r="L234" s="103" t="s">
        <v>1795</v>
      </c>
      <c r="M234" s="258" t="s">
        <v>43</v>
      </c>
      <c r="N234" s="259" t="s">
        <v>1856</v>
      </c>
      <c r="O234" s="110"/>
      <c r="P234" s="110"/>
      <c r="Q234" s="110" t="s">
        <v>1857</v>
      </c>
      <c r="R234" s="134" t="s">
        <v>1798</v>
      </c>
      <c r="S234" s="97" t="s">
        <v>1799</v>
      </c>
      <c r="T234" s="124" t="s">
        <v>518</v>
      </c>
      <c r="U234" s="163" t="s">
        <v>518</v>
      </c>
      <c r="V234" s="164"/>
      <c r="W234" s="98"/>
      <c r="X234" s="129" t="s">
        <v>1805</v>
      </c>
      <c r="Y234" s="97" t="s">
        <v>1409</v>
      </c>
      <c r="Z234" s="169"/>
      <c r="AA234" s="182"/>
      <c r="AB234" s="178"/>
      <c r="AC234" s="52"/>
      <c r="AD234" s="52"/>
      <c r="AE234" s="52"/>
      <c r="AF234" s="52"/>
      <c r="AG234" s="52"/>
      <c r="AH234" s="260" t="s">
        <v>843</v>
      </c>
      <c r="AI234" s="164"/>
      <c r="AJ234" s="276"/>
    </row>
    <row r="235" spans="1:36" ht="12" hidden="1" customHeight="1">
      <c r="A235" s="109" t="s">
        <v>541</v>
      </c>
      <c r="B235" s="103" t="s">
        <v>542</v>
      </c>
      <c r="C235" s="103" t="s">
        <v>17</v>
      </c>
      <c r="D235" s="103" t="s">
        <v>45</v>
      </c>
      <c r="E235" s="103" t="s">
        <v>18</v>
      </c>
      <c r="F235" s="131" t="s">
        <v>42</v>
      </c>
      <c r="G235" s="103" t="s">
        <v>559</v>
      </c>
      <c r="H235" s="132" t="s">
        <v>560</v>
      </c>
      <c r="I235" s="135" t="s">
        <v>1858</v>
      </c>
      <c r="J235" s="37"/>
      <c r="K235" s="103" t="s">
        <v>1794</v>
      </c>
      <c r="L235" s="103" t="s">
        <v>1795</v>
      </c>
      <c r="M235" s="258" t="s">
        <v>43</v>
      </c>
      <c r="N235" s="259" t="s">
        <v>1859</v>
      </c>
      <c r="O235" s="110"/>
      <c r="P235" s="110"/>
      <c r="Q235" s="110" t="s">
        <v>1857</v>
      </c>
      <c r="R235" s="134" t="s">
        <v>1798</v>
      </c>
      <c r="S235" s="97" t="s">
        <v>1799</v>
      </c>
      <c r="T235" s="124" t="s">
        <v>518</v>
      </c>
      <c r="U235" s="163" t="s">
        <v>518</v>
      </c>
      <c r="V235" s="164"/>
      <c r="W235" s="98"/>
      <c r="X235" s="129" t="s">
        <v>1805</v>
      </c>
      <c r="Y235" s="97" t="s">
        <v>1409</v>
      </c>
      <c r="Z235" s="169"/>
      <c r="AA235" s="182"/>
      <c r="AB235" s="178"/>
      <c r="AC235" s="52"/>
      <c r="AD235" s="52"/>
      <c r="AE235" s="52"/>
      <c r="AF235" s="52"/>
      <c r="AG235" s="52"/>
      <c r="AH235" s="260" t="s">
        <v>843</v>
      </c>
      <c r="AI235" s="164"/>
      <c r="AJ235" s="276"/>
    </row>
    <row r="236" spans="1:36" ht="12" hidden="1" customHeight="1">
      <c r="A236" s="109" t="s">
        <v>541</v>
      </c>
      <c r="B236" s="103" t="s">
        <v>542</v>
      </c>
      <c r="C236" s="103" t="s">
        <v>16</v>
      </c>
      <c r="D236" s="103" t="s">
        <v>45</v>
      </c>
      <c r="E236" s="103" t="s">
        <v>18</v>
      </c>
      <c r="F236" s="131" t="s">
        <v>42</v>
      </c>
      <c r="G236" s="103" t="s">
        <v>561</v>
      </c>
      <c r="H236" s="132" t="s">
        <v>562</v>
      </c>
      <c r="I236" s="135" t="s">
        <v>1860</v>
      </c>
      <c r="J236" s="37"/>
      <c r="K236" s="103" t="s">
        <v>1794</v>
      </c>
      <c r="L236" s="103" t="s">
        <v>1795</v>
      </c>
      <c r="M236" s="258" t="s">
        <v>43</v>
      </c>
      <c r="N236" s="259"/>
      <c r="O236" s="110"/>
      <c r="P236" s="110"/>
      <c r="Q236" s="110" t="s">
        <v>547</v>
      </c>
      <c r="R236" s="134" t="s">
        <v>1798</v>
      </c>
      <c r="S236" s="97" t="s">
        <v>1799</v>
      </c>
      <c r="T236" s="124" t="s">
        <v>518</v>
      </c>
      <c r="U236" s="163" t="s">
        <v>518</v>
      </c>
      <c r="V236" s="164"/>
      <c r="W236" s="98"/>
      <c r="X236" s="129" t="s">
        <v>1805</v>
      </c>
      <c r="Y236" s="97" t="s">
        <v>1409</v>
      </c>
      <c r="Z236" s="169"/>
      <c r="AA236" s="182"/>
      <c r="AB236" s="178"/>
      <c r="AC236" s="52"/>
      <c r="AD236" s="52"/>
      <c r="AE236" s="52"/>
      <c r="AF236" s="52"/>
      <c r="AG236" s="52"/>
      <c r="AH236" s="260" t="s">
        <v>843</v>
      </c>
      <c r="AI236" s="164"/>
      <c r="AJ236" s="276"/>
    </row>
    <row r="237" spans="1:36" ht="12" hidden="1" customHeight="1">
      <c r="A237" s="109" t="s">
        <v>563</v>
      </c>
      <c r="B237" s="103" t="s">
        <v>564</v>
      </c>
      <c r="C237" s="103" t="s">
        <v>17</v>
      </c>
      <c r="D237" s="103" t="s">
        <v>45</v>
      </c>
      <c r="E237" s="103" t="s">
        <v>18</v>
      </c>
      <c r="F237" s="131" t="s">
        <v>42</v>
      </c>
      <c r="G237" s="103" t="s">
        <v>565</v>
      </c>
      <c r="H237" s="103" t="s">
        <v>1861</v>
      </c>
      <c r="I237" s="135" t="s">
        <v>1862</v>
      </c>
      <c r="J237" s="37"/>
      <c r="K237" s="103" t="s">
        <v>1794</v>
      </c>
      <c r="L237" s="103" t="s">
        <v>1795</v>
      </c>
      <c r="M237" s="140" t="s">
        <v>43</v>
      </c>
      <c r="N237" s="259" t="s">
        <v>1837</v>
      </c>
      <c r="O237" s="110"/>
      <c r="P237" s="110"/>
      <c r="Q237" s="110" t="s">
        <v>1849</v>
      </c>
      <c r="R237" s="134" t="s">
        <v>1798</v>
      </c>
      <c r="S237" s="97" t="s">
        <v>1799</v>
      </c>
      <c r="T237" s="124" t="s">
        <v>518</v>
      </c>
      <c r="U237" s="163" t="s">
        <v>518</v>
      </c>
      <c r="V237" s="164"/>
      <c r="W237" s="98"/>
      <c r="X237" s="129" t="s">
        <v>1805</v>
      </c>
      <c r="Y237" s="97" t="s">
        <v>1409</v>
      </c>
      <c r="Z237" s="169"/>
      <c r="AA237" s="182"/>
      <c r="AB237" s="178"/>
      <c r="AC237" s="52"/>
      <c r="AD237" s="52"/>
      <c r="AE237" s="52"/>
      <c r="AF237" s="52"/>
      <c r="AG237" s="52"/>
      <c r="AH237" s="260" t="s">
        <v>843</v>
      </c>
      <c r="AI237" s="164"/>
      <c r="AJ237" s="276"/>
    </row>
    <row r="238" spans="1:36" ht="12" hidden="1" customHeight="1">
      <c r="A238" s="109" t="s">
        <v>1863</v>
      </c>
      <c r="B238" s="103" t="s">
        <v>566</v>
      </c>
      <c r="C238" s="103" t="s">
        <v>16</v>
      </c>
      <c r="D238" s="103" t="s">
        <v>45</v>
      </c>
      <c r="E238" s="103" t="s">
        <v>18</v>
      </c>
      <c r="F238" s="131" t="s">
        <v>42</v>
      </c>
      <c r="G238" s="103" t="s">
        <v>567</v>
      </c>
      <c r="H238" s="103" t="s">
        <v>1864</v>
      </c>
      <c r="I238" s="135" t="s">
        <v>1865</v>
      </c>
      <c r="J238" s="37"/>
      <c r="K238" s="103" t="s">
        <v>1794</v>
      </c>
      <c r="L238" s="103" t="s">
        <v>1795</v>
      </c>
      <c r="M238" s="258" t="s">
        <v>43</v>
      </c>
      <c r="N238" s="259"/>
      <c r="O238" s="139"/>
      <c r="P238" s="139"/>
      <c r="Q238" s="110" t="s">
        <v>823</v>
      </c>
      <c r="R238" s="134" t="s">
        <v>1798</v>
      </c>
      <c r="S238" s="97" t="s">
        <v>1799</v>
      </c>
      <c r="T238" s="124" t="s">
        <v>518</v>
      </c>
      <c r="U238" s="163" t="s">
        <v>518</v>
      </c>
      <c r="V238" s="164"/>
      <c r="W238" s="98"/>
      <c r="X238" s="129" t="s">
        <v>1805</v>
      </c>
      <c r="Y238" s="97" t="s">
        <v>1409</v>
      </c>
      <c r="Z238" s="169"/>
      <c r="AA238" s="182"/>
      <c r="AB238" s="178"/>
      <c r="AC238" s="52"/>
      <c r="AD238" s="52"/>
      <c r="AE238" s="52"/>
      <c r="AF238" s="52"/>
      <c r="AG238" s="52"/>
      <c r="AH238" s="260" t="s">
        <v>843</v>
      </c>
      <c r="AI238" s="164"/>
      <c r="AJ238" s="276"/>
    </row>
    <row r="239" spans="1:36" ht="12" hidden="1" customHeight="1">
      <c r="A239" s="109" t="s">
        <v>570</v>
      </c>
      <c r="B239" s="103" t="s">
        <v>1866</v>
      </c>
      <c r="C239" s="103" t="s">
        <v>16</v>
      </c>
      <c r="D239" s="103" t="s">
        <v>45</v>
      </c>
      <c r="E239" s="103" t="s">
        <v>18</v>
      </c>
      <c r="F239" s="131" t="s">
        <v>42</v>
      </c>
      <c r="G239" s="103" t="s">
        <v>1867</v>
      </c>
      <c r="H239" s="103" t="s">
        <v>1866</v>
      </c>
      <c r="I239" s="135" t="s">
        <v>1868</v>
      </c>
      <c r="J239" s="37"/>
      <c r="K239" s="103" t="s">
        <v>1794</v>
      </c>
      <c r="L239" s="103" t="s">
        <v>1795</v>
      </c>
      <c r="M239" s="258" t="s">
        <v>43</v>
      </c>
      <c r="N239" s="259" t="s">
        <v>1869</v>
      </c>
      <c r="O239" s="139"/>
      <c r="P239" s="139"/>
      <c r="Q239" s="110" t="s">
        <v>824</v>
      </c>
      <c r="R239" s="134" t="s">
        <v>1798</v>
      </c>
      <c r="S239" s="97" t="s">
        <v>1799</v>
      </c>
      <c r="T239" s="124" t="s">
        <v>518</v>
      </c>
      <c r="U239" s="163" t="s">
        <v>518</v>
      </c>
      <c r="V239" s="164"/>
      <c r="W239" s="98"/>
      <c r="X239" s="129" t="s">
        <v>1805</v>
      </c>
      <c r="Y239" s="97" t="s">
        <v>1409</v>
      </c>
      <c r="Z239" s="169"/>
      <c r="AA239" s="182"/>
      <c r="AB239" s="178"/>
      <c r="AC239" s="52"/>
      <c r="AD239" s="52"/>
      <c r="AE239" s="52"/>
      <c r="AF239" s="52"/>
      <c r="AG239" s="52"/>
      <c r="AH239" s="260" t="s">
        <v>843</v>
      </c>
      <c r="AI239" s="164"/>
      <c r="AJ239" s="276"/>
    </row>
    <row r="240" spans="1:36" ht="12" hidden="1" customHeight="1">
      <c r="A240" s="109" t="s">
        <v>571</v>
      </c>
      <c r="B240" s="103" t="s">
        <v>1806</v>
      </c>
      <c r="C240" s="103" t="s">
        <v>17</v>
      </c>
      <c r="D240" s="103" t="s">
        <v>45</v>
      </c>
      <c r="E240" s="103" t="s">
        <v>18</v>
      </c>
      <c r="F240" s="131" t="s">
        <v>42</v>
      </c>
      <c r="G240" s="103" t="s">
        <v>1870</v>
      </c>
      <c r="H240" s="103" t="s">
        <v>1871</v>
      </c>
      <c r="I240" s="135" t="s">
        <v>573</v>
      </c>
      <c r="J240" s="37"/>
      <c r="K240" s="103" t="s">
        <v>1794</v>
      </c>
      <c r="L240" s="103" t="s">
        <v>1795</v>
      </c>
      <c r="M240" s="258" t="s">
        <v>43</v>
      </c>
      <c r="N240" s="142" t="s">
        <v>1872</v>
      </c>
      <c r="O240" s="139"/>
      <c r="P240" s="139"/>
      <c r="Q240" s="110" t="s">
        <v>1873</v>
      </c>
      <c r="R240" s="134" t="s">
        <v>1798</v>
      </c>
      <c r="S240" s="97" t="s">
        <v>1799</v>
      </c>
      <c r="T240" s="124" t="s">
        <v>518</v>
      </c>
      <c r="U240" s="163" t="s">
        <v>518</v>
      </c>
      <c r="V240" s="164"/>
      <c r="W240" s="98"/>
      <c r="X240" s="129" t="s">
        <v>1805</v>
      </c>
      <c r="Y240" s="97" t="s">
        <v>1409</v>
      </c>
      <c r="Z240" s="169"/>
      <c r="AA240" s="182"/>
      <c r="AB240" s="178"/>
      <c r="AC240" s="52"/>
      <c r="AD240" s="52"/>
      <c r="AE240" s="52"/>
      <c r="AF240" s="52"/>
      <c r="AG240" s="52"/>
      <c r="AH240" s="260" t="s">
        <v>843</v>
      </c>
      <c r="AI240" s="164"/>
      <c r="AJ240" s="276"/>
    </row>
    <row r="241" spans="1:36" ht="12" hidden="1" customHeight="1">
      <c r="A241" s="103" t="s">
        <v>1874</v>
      </c>
      <c r="B241" s="103" t="s">
        <v>542</v>
      </c>
      <c r="C241" s="103" t="s">
        <v>16</v>
      </c>
      <c r="D241" s="103" t="s">
        <v>45</v>
      </c>
      <c r="E241" s="103" t="s">
        <v>18</v>
      </c>
      <c r="F241" s="131" t="s">
        <v>362</v>
      </c>
      <c r="G241" s="103" t="s">
        <v>1875</v>
      </c>
      <c r="H241" s="103" t="s">
        <v>1876</v>
      </c>
      <c r="I241" s="135" t="s">
        <v>1877</v>
      </c>
      <c r="J241" s="37"/>
      <c r="K241" s="103" t="s">
        <v>1794</v>
      </c>
      <c r="L241" s="103" t="s">
        <v>577</v>
      </c>
      <c r="M241" s="258" t="s">
        <v>43</v>
      </c>
      <c r="N241" s="142" t="s">
        <v>1878</v>
      </c>
      <c r="O241" s="139"/>
      <c r="P241" s="139"/>
      <c r="Q241" s="110" t="s">
        <v>1879</v>
      </c>
      <c r="R241" s="134" t="s">
        <v>1798</v>
      </c>
      <c r="S241" s="97" t="s">
        <v>1799</v>
      </c>
      <c r="T241" s="124" t="s">
        <v>518</v>
      </c>
      <c r="U241" s="163" t="s">
        <v>518</v>
      </c>
      <c r="V241" s="164"/>
      <c r="W241" s="98"/>
      <c r="X241" s="129" t="s">
        <v>1805</v>
      </c>
      <c r="Y241" s="97" t="s">
        <v>1409</v>
      </c>
      <c r="Z241" s="169"/>
      <c r="AA241" s="182"/>
      <c r="AB241" s="178"/>
      <c r="AC241" s="52"/>
      <c r="AD241" s="52"/>
      <c r="AE241" s="52"/>
      <c r="AF241" s="52"/>
      <c r="AG241" s="52"/>
      <c r="AH241" s="260" t="s">
        <v>843</v>
      </c>
      <c r="AI241" s="164"/>
      <c r="AJ241" s="276"/>
    </row>
    <row r="242" spans="1:36" ht="12" hidden="1" customHeight="1">
      <c r="A242" s="103" t="s">
        <v>579</v>
      </c>
      <c r="B242" s="137" t="s">
        <v>1880</v>
      </c>
      <c r="C242" s="103" t="s">
        <v>17</v>
      </c>
      <c r="D242" s="103" t="s">
        <v>45</v>
      </c>
      <c r="E242" s="103" t="s">
        <v>18</v>
      </c>
      <c r="F242" s="131" t="s">
        <v>362</v>
      </c>
      <c r="G242" s="103" t="s">
        <v>1881</v>
      </c>
      <c r="H242" s="137" t="s">
        <v>1880</v>
      </c>
      <c r="I242" s="135" t="s">
        <v>1882</v>
      </c>
      <c r="J242" s="49"/>
      <c r="K242" s="103" t="s">
        <v>1794</v>
      </c>
      <c r="L242" s="103" t="s">
        <v>577</v>
      </c>
      <c r="M242" s="258" t="s">
        <v>43</v>
      </c>
      <c r="N242" s="142" t="s">
        <v>1883</v>
      </c>
      <c r="O242" s="166"/>
      <c r="P242" s="166"/>
      <c r="Q242" s="110" t="s">
        <v>1884</v>
      </c>
      <c r="R242" s="134" t="s">
        <v>1798</v>
      </c>
      <c r="S242" s="97" t="s">
        <v>1799</v>
      </c>
      <c r="T242" s="124" t="s">
        <v>518</v>
      </c>
      <c r="U242" s="163" t="s">
        <v>518</v>
      </c>
      <c r="V242" s="164"/>
      <c r="W242" s="98"/>
      <c r="X242" s="129" t="s">
        <v>1805</v>
      </c>
      <c r="Y242" s="97" t="s">
        <v>1409</v>
      </c>
      <c r="Z242" s="169"/>
      <c r="AA242" s="182"/>
      <c r="AB242" s="178"/>
      <c r="AC242" s="52"/>
      <c r="AD242" s="52"/>
      <c r="AE242" s="52"/>
      <c r="AF242" s="52"/>
      <c r="AG242" s="52"/>
      <c r="AH242" s="260" t="s">
        <v>843</v>
      </c>
      <c r="AI242" s="164"/>
      <c r="AJ242" s="276"/>
    </row>
    <row r="243" spans="1:36" ht="12" hidden="1" customHeight="1">
      <c r="A243" s="103" t="s">
        <v>580</v>
      </c>
      <c r="B243" s="103" t="s">
        <v>581</v>
      </c>
      <c r="C243" s="103" t="s">
        <v>17</v>
      </c>
      <c r="D243" s="103" t="s">
        <v>45</v>
      </c>
      <c r="E243" s="103" t="s">
        <v>18</v>
      </c>
      <c r="F243" s="103" t="s">
        <v>42</v>
      </c>
      <c r="G243" s="103" t="s">
        <v>1885</v>
      </c>
      <c r="H243" s="103" t="s">
        <v>581</v>
      </c>
      <c r="I243" s="135" t="s">
        <v>1886</v>
      </c>
      <c r="J243" s="49"/>
      <c r="K243" s="103" t="s">
        <v>1794</v>
      </c>
      <c r="L243" s="103" t="s">
        <v>577</v>
      </c>
      <c r="M243" s="258" t="s">
        <v>505</v>
      </c>
      <c r="N243" s="269" t="s">
        <v>837</v>
      </c>
      <c r="O243" s="166"/>
      <c r="P243" s="166"/>
      <c r="Q243" s="110" t="s">
        <v>1887</v>
      </c>
      <c r="R243" s="134" t="s">
        <v>1798</v>
      </c>
      <c r="S243" s="97" t="s">
        <v>1799</v>
      </c>
      <c r="T243" s="124" t="s">
        <v>518</v>
      </c>
      <c r="U243" s="163" t="s">
        <v>518</v>
      </c>
      <c r="V243" s="164"/>
      <c r="W243" s="98"/>
      <c r="X243" s="129" t="s">
        <v>1805</v>
      </c>
      <c r="Y243" s="97" t="s">
        <v>665</v>
      </c>
      <c r="Z243" s="169"/>
      <c r="AA243" s="180"/>
      <c r="AB243" s="178"/>
      <c r="AC243" s="151"/>
      <c r="AD243" s="151"/>
      <c r="AE243" s="151"/>
      <c r="AF243" s="151"/>
      <c r="AG243" s="151"/>
      <c r="AH243" s="260" t="s">
        <v>843</v>
      </c>
      <c r="AI243" s="159"/>
      <c r="AJ243" s="263">
        <v>44407</v>
      </c>
    </row>
    <row r="244" spans="1:36" ht="12" hidden="1" customHeight="1">
      <c r="A244" s="103" t="s">
        <v>1888</v>
      </c>
      <c r="B244" s="103" t="s">
        <v>1889</v>
      </c>
      <c r="C244" s="103" t="s">
        <v>17</v>
      </c>
      <c r="D244" s="103" t="s">
        <v>45</v>
      </c>
      <c r="E244" s="103" t="s">
        <v>18</v>
      </c>
      <c r="F244" s="103" t="s">
        <v>362</v>
      </c>
      <c r="G244" s="103" t="s">
        <v>1890</v>
      </c>
      <c r="H244" s="103" t="s">
        <v>582</v>
      </c>
      <c r="I244" s="135" t="s">
        <v>1891</v>
      </c>
      <c r="J244" s="37"/>
      <c r="K244" s="103" t="s">
        <v>1794</v>
      </c>
      <c r="L244" s="103" t="s">
        <v>577</v>
      </c>
      <c r="M244" s="258" t="s">
        <v>43</v>
      </c>
      <c r="N244" s="259" t="s">
        <v>1892</v>
      </c>
      <c r="O244" s="110"/>
      <c r="P244" s="110"/>
      <c r="Q244" s="110" t="s">
        <v>1893</v>
      </c>
      <c r="R244" s="134" t="s">
        <v>1798</v>
      </c>
      <c r="S244" s="97" t="s">
        <v>1799</v>
      </c>
      <c r="T244" s="124" t="s">
        <v>1032</v>
      </c>
      <c r="U244" s="163" t="s">
        <v>518</v>
      </c>
      <c r="V244" s="164"/>
      <c r="W244" s="98"/>
      <c r="X244" s="129" t="s">
        <v>1805</v>
      </c>
      <c r="Y244" s="97" t="s">
        <v>1409</v>
      </c>
      <c r="Z244" s="169"/>
      <c r="AA244" s="182"/>
      <c r="AB244" s="178"/>
      <c r="AC244" s="151"/>
      <c r="AD244" s="151"/>
      <c r="AE244" s="151"/>
      <c r="AF244" s="151"/>
      <c r="AG244" s="151"/>
      <c r="AH244" s="260" t="s">
        <v>843</v>
      </c>
      <c r="AI244" s="159"/>
      <c r="AJ244" s="261"/>
    </row>
    <row r="245" spans="1:36" ht="12" hidden="1" customHeight="1">
      <c r="A245" s="103" t="s">
        <v>1894</v>
      </c>
      <c r="B245" s="103" t="s">
        <v>1889</v>
      </c>
      <c r="C245" s="103" t="s">
        <v>17</v>
      </c>
      <c r="D245" s="103" t="s">
        <v>45</v>
      </c>
      <c r="E245" s="103" t="s">
        <v>18</v>
      </c>
      <c r="F245" s="103" t="s">
        <v>362</v>
      </c>
      <c r="G245" s="103" t="s">
        <v>1895</v>
      </c>
      <c r="H245" s="103" t="s">
        <v>1896</v>
      </c>
      <c r="I245" s="135" t="s">
        <v>1891</v>
      </c>
      <c r="J245" s="37"/>
      <c r="K245" s="103" t="s">
        <v>1794</v>
      </c>
      <c r="L245" s="103" t="s">
        <v>577</v>
      </c>
      <c r="M245" s="258" t="s">
        <v>43</v>
      </c>
      <c r="N245" s="259" t="s">
        <v>1897</v>
      </c>
      <c r="O245" s="110"/>
      <c r="P245" s="110"/>
      <c r="Q245" s="108" t="s">
        <v>1898</v>
      </c>
      <c r="R245" s="134" t="s">
        <v>1798</v>
      </c>
      <c r="S245" s="97" t="s">
        <v>1799</v>
      </c>
      <c r="T245" s="124" t="s">
        <v>518</v>
      </c>
      <c r="U245" s="163" t="s">
        <v>518</v>
      </c>
      <c r="V245" s="164"/>
      <c r="W245" s="98"/>
      <c r="X245" s="129" t="s">
        <v>1805</v>
      </c>
      <c r="Y245" s="97" t="s">
        <v>1409</v>
      </c>
      <c r="Z245" s="169"/>
      <c r="AA245" s="182"/>
      <c r="AB245" s="178"/>
      <c r="AC245" s="52"/>
      <c r="AD245" s="52"/>
      <c r="AE245" s="52"/>
      <c r="AF245" s="52"/>
      <c r="AG245" s="52"/>
      <c r="AH245" s="260" t="s">
        <v>843</v>
      </c>
      <c r="AI245" s="164"/>
      <c r="AJ245" s="276"/>
    </row>
    <row r="246" spans="1:36" ht="12" hidden="1" customHeight="1">
      <c r="A246" s="103" t="s">
        <v>1899</v>
      </c>
      <c r="B246" s="103" t="s">
        <v>1889</v>
      </c>
      <c r="C246" s="103" t="s">
        <v>17</v>
      </c>
      <c r="D246" s="103" t="s">
        <v>45</v>
      </c>
      <c r="E246" s="103" t="s">
        <v>18</v>
      </c>
      <c r="F246" s="103" t="s">
        <v>362</v>
      </c>
      <c r="G246" s="103" t="s">
        <v>1900</v>
      </c>
      <c r="H246" s="103" t="s">
        <v>1901</v>
      </c>
      <c r="I246" s="135" t="s">
        <v>1902</v>
      </c>
      <c r="J246" s="37"/>
      <c r="K246" s="103" t="s">
        <v>1794</v>
      </c>
      <c r="L246" s="103" t="s">
        <v>577</v>
      </c>
      <c r="M246" s="140" t="s">
        <v>43</v>
      </c>
      <c r="N246" s="259" t="s">
        <v>1897</v>
      </c>
      <c r="O246" s="110"/>
      <c r="P246" s="110"/>
      <c r="Q246" s="108" t="s">
        <v>1903</v>
      </c>
      <c r="R246" s="134" t="s">
        <v>1798</v>
      </c>
      <c r="S246" s="97" t="s">
        <v>1799</v>
      </c>
      <c r="T246" s="124" t="s">
        <v>518</v>
      </c>
      <c r="U246" s="163" t="s">
        <v>518</v>
      </c>
      <c r="V246" s="164"/>
      <c r="W246" s="98"/>
      <c r="X246" s="129" t="s">
        <v>1805</v>
      </c>
      <c r="Y246" s="97" t="s">
        <v>1409</v>
      </c>
      <c r="Z246" s="169"/>
      <c r="AA246" s="182"/>
      <c r="AB246" s="178"/>
      <c r="AC246" s="52"/>
      <c r="AD246" s="52"/>
      <c r="AE246" s="52"/>
      <c r="AF246" s="52"/>
      <c r="AG246" s="52"/>
      <c r="AH246" s="260" t="s">
        <v>843</v>
      </c>
      <c r="AI246" s="164"/>
      <c r="AJ246" s="276"/>
    </row>
    <row r="247" spans="1:36" ht="12" hidden="1" customHeight="1">
      <c r="A247" s="97" t="s">
        <v>1904</v>
      </c>
      <c r="B247" s="76" t="s">
        <v>1905</v>
      </c>
      <c r="C247" s="81" t="s">
        <v>16</v>
      </c>
      <c r="D247" s="81" t="s">
        <v>45</v>
      </c>
      <c r="E247" s="81" t="s">
        <v>18</v>
      </c>
      <c r="F247" s="97" t="s">
        <v>42</v>
      </c>
      <c r="G247" s="81" t="s">
        <v>1906</v>
      </c>
      <c r="H247" s="76" t="s">
        <v>1907</v>
      </c>
      <c r="I247" s="87" t="s">
        <v>1908</v>
      </c>
      <c r="J247" s="49"/>
      <c r="K247" s="81" t="s">
        <v>507</v>
      </c>
      <c r="L247" s="38" t="s">
        <v>905</v>
      </c>
      <c r="M247" s="140" t="s">
        <v>1219</v>
      </c>
      <c r="N247" s="259" t="s">
        <v>1909</v>
      </c>
      <c r="O247" s="155"/>
      <c r="P247" s="155"/>
      <c r="Q247" s="99" t="s">
        <v>1750</v>
      </c>
      <c r="R247" s="97" t="s">
        <v>1128</v>
      </c>
      <c r="S247" s="97" t="s">
        <v>1745</v>
      </c>
      <c r="T247" s="124" t="s">
        <v>518</v>
      </c>
      <c r="U247" s="156" t="s">
        <v>518</v>
      </c>
      <c r="V247" s="159"/>
      <c r="W247" s="143"/>
      <c r="X247" s="97" t="s">
        <v>914</v>
      </c>
      <c r="Y247" s="97" t="s">
        <v>639</v>
      </c>
      <c r="Z247" s="169"/>
      <c r="AA247" s="179"/>
      <c r="AB247" s="178" t="s">
        <v>1910</v>
      </c>
      <c r="AC247" s="151"/>
      <c r="AD247" s="151"/>
      <c r="AE247" s="151"/>
      <c r="AF247" s="151"/>
      <c r="AG247" s="151"/>
      <c r="AH247" s="260" t="s">
        <v>839</v>
      </c>
      <c r="AI247" s="159"/>
      <c r="AJ247" s="263">
        <v>44320</v>
      </c>
    </row>
    <row r="248" spans="1:36" ht="12" hidden="1" customHeight="1">
      <c r="A248" s="97" t="s">
        <v>761</v>
      </c>
      <c r="B248" s="79" t="s">
        <v>762</v>
      </c>
      <c r="C248" s="81" t="s">
        <v>17</v>
      </c>
      <c r="D248" s="81" t="s">
        <v>45</v>
      </c>
      <c r="E248" s="81" t="s">
        <v>18</v>
      </c>
      <c r="F248" s="71" t="s">
        <v>42</v>
      </c>
      <c r="G248" s="81" t="s">
        <v>1911</v>
      </c>
      <c r="H248" s="74" t="s">
        <v>763</v>
      </c>
      <c r="I248" s="75" t="s">
        <v>1912</v>
      </c>
      <c r="J248" s="199"/>
      <c r="K248" s="97" t="s">
        <v>507</v>
      </c>
      <c r="L248" s="81" t="s">
        <v>1913</v>
      </c>
      <c r="M248" s="277" t="s">
        <v>43</v>
      </c>
      <c r="N248" s="278" t="s">
        <v>1914</v>
      </c>
      <c r="O248" s="78"/>
      <c r="P248" s="78"/>
      <c r="Q248" s="78" t="s">
        <v>1915</v>
      </c>
      <c r="R248" s="81" t="s">
        <v>1916</v>
      </c>
      <c r="S248" s="81"/>
      <c r="T248" s="97" t="s">
        <v>764</v>
      </c>
      <c r="U248" s="97" t="s">
        <v>1917</v>
      </c>
      <c r="V248" s="97"/>
      <c r="W248" s="99"/>
      <c r="X248" s="277" t="s">
        <v>1916</v>
      </c>
      <c r="Y248" s="71" t="s">
        <v>1916</v>
      </c>
      <c r="Z248" s="97"/>
      <c r="AA248" s="179"/>
      <c r="AB248" s="178"/>
      <c r="AC248" s="52"/>
      <c r="AD248" s="52"/>
      <c r="AE248" s="52"/>
      <c r="AF248" s="52"/>
      <c r="AG248" s="52"/>
      <c r="AH248" s="260" t="s">
        <v>843</v>
      </c>
      <c r="AI248" s="164"/>
      <c r="AJ248" s="276"/>
    </row>
    <row r="249" spans="1:36" ht="12" hidden="1" customHeight="1">
      <c r="A249" s="97" t="s">
        <v>761</v>
      </c>
      <c r="B249" s="79" t="s">
        <v>762</v>
      </c>
      <c r="C249" s="81" t="s">
        <v>16</v>
      </c>
      <c r="D249" s="81" t="s">
        <v>45</v>
      </c>
      <c r="E249" s="81" t="s">
        <v>18</v>
      </c>
      <c r="F249" s="71" t="s">
        <v>362</v>
      </c>
      <c r="G249" s="81" t="s">
        <v>1918</v>
      </c>
      <c r="H249" s="74" t="s">
        <v>766</v>
      </c>
      <c r="I249" s="90" t="s">
        <v>1919</v>
      </c>
      <c r="J249" s="74"/>
      <c r="K249" s="97" t="s">
        <v>507</v>
      </c>
      <c r="L249" s="81" t="s">
        <v>1913</v>
      </c>
      <c r="M249" s="277" t="s">
        <v>1219</v>
      </c>
      <c r="N249" s="278" t="s">
        <v>1920</v>
      </c>
      <c r="O249" s="78"/>
      <c r="P249" s="78"/>
      <c r="Q249" s="78" t="s">
        <v>1921</v>
      </c>
      <c r="R249" s="97" t="s">
        <v>797</v>
      </c>
      <c r="S249" s="81"/>
      <c r="T249" s="175" t="s">
        <v>1343</v>
      </c>
      <c r="U249" s="97"/>
      <c r="V249" s="97"/>
      <c r="W249" s="99"/>
      <c r="X249" s="81" t="s">
        <v>1916</v>
      </c>
      <c r="Y249" s="71" t="s">
        <v>1916</v>
      </c>
      <c r="Z249" s="97"/>
      <c r="AA249" s="180"/>
      <c r="AB249" s="178"/>
      <c r="AC249" s="52"/>
      <c r="AD249" s="52"/>
      <c r="AE249" s="232"/>
      <c r="AF249" s="232"/>
      <c r="AG249" s="232"/>
      <c r="AH249" s="260" t="s">
        <v>843</v>
      </c>
      <c r="AI249" s="249"/>
      <c r="AJ249" s="279">
        <v>44323</v>
      </c>
    </row>
    <row r="250" spans="1:36" ht="12" hidden="1" customHeight="1">
      <c r="A250" s="97" t="s">
        <v>1922</v>
      </c>
      <c r="B250" s="79" t="s">
        <v>1923</v>
      </c>
      <c r="C250" s="81" t="s">
        <v>1558</v>
      </c>
      <c r="D250" s="81" t="s">
        <v>45</v>
      </c>
      <c r="E250" s="81" t="s">
        <v>18</v>
      </c>
      <c r="F250" s="71" t="s">
        <v>42</v>
      </c>
      <c r="G250" s="81" t="s">
        <v>768</v>
      </c>
      <c r="H250" s="74" t="s">
        <v>1924</v>
      </c>
      <c r="I250" s="75" t="s">
        <v>1925</v>
      </c>
      <c r="J250" s="74"/>
      <c r="K250" s="97" t="s">
        <v>1794</v>
      </c>
      <c r="L250" s="81" t="s">
        <v>1913</v>
      </c>
      <c r="M250" s="277" t="s">
        <v>912</v>
      </c>
      <c r="N250" s="278" t="s">
        <v>1926</v>
      </c>
      <c r="O250" s="200"/>
      <c r="P250" s="200"/>
      <c r="Q250" s="78" t="s">
        <v>1927</v>
      </c>
      <c r="R250" s="81" t="s">
        <v>1341</v>
      </c>
      <c r="S250" s="81"/>
      <c r="T250" s="71" t="s">
        <v>1343</v>
      </c>
      <c r="U250" s="204"/>
      <c r="V250" s="71"/>
      <c r="W250" s="204"/>
      <c r="X250" s="277" t="s">
        <v>1916</v>
      </c>
      <c r="Y250" s="71" t="s">
        <v>1916</v>
      </c>
      <c r="Z250" s="71"/>
      <c r="AA250" s="70"/>
      <c r="AB250" s="70"/>
      <c r="AC250" s="52"/>
      <c r="AD250" s="52"/>
      <c r="AE250" s="52"/>
      <c r="AF250" s="52"/>
      <c r="AG250" s="52"/>
      <c r="AH250" s="260" t="s">
        <v>843</v>
      </c>
      <c r="AI250" s="164"/>
      <c r="AJ250" s="276"/>
    </row>
    <row r="251" spans="1:36" ht="12" hidden="1" customHeight="1">
      <c r="A251" s="71" t="s">
        <v>1922</v>
      </c>
      <c r="B251" s="79" t="s">
        <v>1923</v>
      </c>
      <c r="C251" s="81" t="s">
        <v>1558</v>
      </c>
      <c r="D251" s="81" t="s">
        <v>45</v>
      </c>
      <c r="E251" s="81" t="s">
        <v>18</v>
      </c>
      <c r="F251" s="71" t="s">
        <v>42</v>
      </c>
      <c r="G251" s="81" t="s">
        <v>1928</v>
      </c>
      <c r="H251" s="74" t="s">
        <v>1929</v>
      </c>
      <c r="I251" s="75" t="s">
        <v>1930</v>
      </c>
      <c r="J251" s="74"/>
      <c r="K251" s="97" t="s">
        <v>1794</v>
      </c>
      <c r="L251" s="81" t="s">
        <v>1913</v>
      </c>
      <c r="M251" s="277" t="s">
        <v>912</v>
      </c>
      <c r="N251" s="278" t="s">
        <v>1931</v>
      </c>
      <c r="O251" s="200"/>
      <c r="P251" s="200"/>
      <c r="Q251" s="78" t="s">
        <v>1932</v>
      </c>
      <c r="R251" s="81" t="s">
        <v>1341</v>
      </c>
      <c r="S251" s="81"/>
      <c r="T251" s="71" t="s">
        <v>1343</v>
      </c>
      <c r="U251" s="204"/>
      <c r="V251" s="71"/>
      <c r="W251" s="204"/>
      <c r="X251" s="277" t="s">
        <v>1916</v>
      </c>
      <c r="Y251" s="71" t="s">
        <v>1916</v>
      </c>
      <c r="Z251" s="71"/>
      <c r="AA251" s="70"/>
      <c r="AB251" s="70"/>
      <c r="AC251" s="52"/>
      <c r="AD251" s="52"/>
      <c r="AE251" s="52"/>
      <c r="AF251" s="52"/>
      <c r="AG251" s="52"/>
      <c r="AH251" s="260" t="s">
        <v>839</v>
      </c>
      <c r="AI251" s="164"/>
      <c r="AJ251" s="276"/>
    </row>
    <row r="252" spans="1:36" ht="12" hidden="1" customHeight="1">
      <c r="A252" s="71" t="s">
        <v>1922</v>
      </c>
      <c r="B252" s="79" t="s">
        <v>1923</v>
      </c>
      <c r="C252" s="81" t="s">
        <v>1558</v>
      </c>
      <c r="D252" s="81" t="s">
        <v>45</v>
      </c>
      <c r="E252" s="81" t="s">
        <v>18</v>
      </c>
      <c r="F252" s="71" t="s">
        <v>539</v>
      </c>
      <c r="G252" s="81" t="s">
        <v>1933</v>
      </c>
      <c r="H252" s="74" t="s">
        <v>1934</v>
      </c>
      <c r="I252" s="198" t="s">
        <v>1935</v>
      </c>
      <c r="J252" s="199"/>
      <c r="K252" s="97" t="s">
        <v>1621</v>
      </c>
      <c r="L252" s="81" t="s">
        <v>1913</v>
      </c>
      <c r="M252" s="277" t="s">
        <v>912</v>
      </c>
      <c r="N252" s="278"/>
      <c r="O252" s="200"/>
      <c r="P252" s="200"/>
      <c r="Q252" s="78" t="s">
        <v>1936</v>
      </c>
      <c r="R252" s="81" t="s">
        <v>725</v>
      </c>
      <c r="S252" s="97" t="s">
        <v>1799</v>
      </c>
      <c r="T252" s="71" t="s">
        <v>518</v>
      </c>
      <c r="U252" s="71" t="s">
        <v>755</v>
      </c>
      <c r="V252" s="71" t="s">
        <v>755</v>
      </c>
      <c r="W252" s="71"/>
      <c r="X252" s="277" t="s">
        <v>1916</v>
      </c>
      <c r="Y252" s="71" t="s">
        <v>1916</v>
      </c>
      <c r="Z252" s="71"/>
      <c r="AA252" s="177"/>
      <c r="AB252" s="178"/>
      <c r="AC252" s="52"/>
      <c r="AD252" s="52"/>
      <c r="AE252" s="52"/>
      <c r="AF252" s="52"/>
      <c r="AG252" s="52"/>
      <c r="AH252" s="260" t="s">
        <v>1937</v>
      </c>
      <c r="AI252" s="164"/>
      <c r="AJ252" s="276"/>
    </row>
    <row r="253" spans="1:36" ht="12" hidden="1" customHeight="1">
      <c r="A253" s="236" t="s">
        <v>1922</v>
      </c>
      <c r="B253" s="237" t="s">
        <v>1923</v>
      </c>
      <c r="C253" s="83" t="s">
        <v>17</v>
      </c>
      <c r="D253" s="83" t="s">
        <v>45</v>
      </c>
      <c r="E253" s="83" t="s">
        <v>19</v>
      </c>
      <c r="F253" s="236" t="s">
        <v>42</v>
      </c>
      <c r="G253" s="83" t="s">
        <v>756</v>
      </c>
      <c r="H253" s="225" t="s">
        <v>1938</v>
      </c>
      <c r="I253" s="238" t="s">
        <v>1939</v>
      </c>
      <c r="J253" s="224"/>
      <c r="K253" s="170" t="s">
        <v>1621</v>
      </c>
      <c r="L253" s="83" t="s">
        <v>1913</v>
      </c>
      <c r="M253" s="280" t="s">
        <v>44</v>
      </c>
      <c r="N253" s="281" t="s">
        <v>1940</v>
      </c>
      <c r="O253" s="239"/>
      <c r="P253" s="239"/>
      <c r="Q253" s="225" t="s">
        <v>1797</v>
      </c>
      <c r="R253" s="170" t="s">
        <v>1798</v>
      </c>
      <c r="S253" s="170" t="s">
        <v>1799</v>
      </c>
      <c r="T253" s="71" t="s">
        <v>518</v>
      </c>
      <c r="U253" s="71" t="s">
        <v>755</v>
      </c>
      <c r="V253" s="71" t="s">
        <v>755</v>
      </c>
      <c r="W253" s="71"/>
      <c r="X253" s="282" t="s">
        <v>1800</v>
      </c>
      <c r="Y253" s="97" t="s">
        <v>1409</v>
      </c>
      <c r="Z253" s="71"/>
      <c r="AA253" s="179"/>
      <c r="AB253" s="178"/>
      <c r="AC253" s="52"/>
      <c r="AD253" s="52"/>
      <c r="AE253" s="52"/>
      <c r="AF253" s="52"/>
      <c r="AG253" s="52"/>
      <c r="AH253" s="260" t="s">
        <v>838</v>
      </c>
      <c r="AI253" s="164"/>
      <c r="AJ253" s="276"/>
    </row>
    <row r="254" spans="1:36" ht="12" hidden="1" customHeight="1">
      <c r="A254" s="71" t="s">
        <v>1922</v>
      </c>
      <c r="B254" s="79" t="s">
        <v>1923</v>
      </c>
      <c r="C254" s="81" t="s">
        <v>17</v>
      </c>
      <c r="D254" s="81" t="s">
        <v>45</v>
      </c>
      <c r="E254" s="81" t="s">
        <v>18</v>
      </c>
      <c r="F254" s="71" t="s">
        <v>42</v>
      </c>
      <c r="G254" s="81" t="s">
        <v>757</v>
      </c>
      <c r="H254" s="74" t="s">
        <v>1941</v>
      </c>
      <c r="I254" s="198" t="s">
        <v>1942</v>
      </c>
      <c r="J254" s="74"/>
      <c r="K254" s="97" t="s">
        <v>1621</v>
      </c>
      <c r="L254" s="81" t="s">
        <v>1913</v>
      </c>
      <c r="M254" s="277" t="s">
        <v>43</v>
      </c>
      <c r="N254" s="278"/>
      <c r="O254" s="200"/>
      <c r="P254" s="200"/>
      <c r="Q254" s="78" t="s">
        <v>1943</v>
      </c>
      <c r="R254" s="81" t="s">
        <v>1944</v>
      </c>
      <c r="S254" s="81"/>
      <c r="T254" s="71" t="s">
        <v>518</v>
      </c>
      <c r="U254" s="71" t="s">
        <v>755</v>
      </c>
      <c r="V254" s="71" t="s">
        <v>755</v>
      </c>
      <c r="W254" s="71"/>
      <c r="X254" s="277" t="s">
        <v>1916</v>
      </c>
      <c r="Y254" s="71" t="s">
        <v>1916</v>
      </c>
      <c r="Z254" s="71"/>
      <c r="AA254" s="180"/>
      <c r="AB254" s="178"/>
      <c r="AC254" s="52"/>
      <c r="AD254" s="52"/>
      <c r="AE254" s="52"/>
      <c r="AF254" s="52"/>
      <c r="AG254" s="52"/>
      <c r="AH254" s="260" t="s">
        <v>847</v>
      </c>
      <c r="AI254" s="164"/>
      <c r="AJ254" s="276"/>
    </row>
    <row r="255" spans="1:36" ht="12" hidden="1" customHeight="1">
      <c r="A255" s="201" t="s">
        <v>1922</v>
      </c>
      <c r="B255" s="202" t="s">
        <v>1923</v>
      </c>
      <c r="C255" s="81" t="s">
        <v>1732</v>
      </c>
      <c r="D255" s="81" t="s">
        <v>45</v>
      </c>
      <c r="E255" s="81" t="s">
        <v>18</v>
      </c>
      <c r="F255" s="201" t="s">
        <v>42</v>
      </c>
      <c r="G255" s="82" t="s">
        <v>758</v>
      </c>
      <c r="H255" s="74" t="s">
        <v>1945</v>
      </c>
      <c r="I255" s="198" t="s">
        <v>1946</v>
      </c>
      <c r="J255" s="74"/>
      <c r="K255" s="203" t="s">
        <v>1621</v>
      </c>
      <c r="L255" s="81" t="s">
        <v>1913</v>
      </c>
      <c r="M255" s="277" t="s">
        <v>43</v>
      </c>
      <c r="N255" s="278" t="s">
        <v>1947</v>
      </c>
      <c r="O255" s="200"/>
      <c r="P255" s="200"/>
      <c r="Q255" s="78" t="s">
        <v>1948</v>
      </c>
      <c r="R255" s="81" t="s">
        <v>795</v>
      </c>
      <c r="S255" s="81" t="s">
        <v>1949</v>
      </c>
      <c r="T255" s="201" t="s">
        <v>518</v>
      </c>
      <c r="U255" s="201" t="s">
        <v>755</v>
      </c>
      <c r="V255" s="201" t="s">
        <v>755</v>
      </c>
      <c r="W255" s="201"/>
      <c r="X255" s="277" t="s">
        <v>1916</v>
      </c>
      <c r="Y255" s="71" t="s">
        <v>1916</v>
      </c>
      <c r="Z255" s="201"/>
      <c r="AA255" s="179"/>
      <c r="AB255" s="178"/>
      <c r="AC255" s="52"/>
      <c r="AD255" s="52"/>
      <c r="AE255" s="52"/>
      <c r="AF255" s="52"/>
      <c r="AG255" s="52"/>
      <c r="AH255" s="260" t="s">
        <v>847</v>
      </c>
      <c r="AI255" s="164"/>
      <c r="AJ255" s="276"/>
    </row>
    <row r="256" spans="1:36" ht="12" hidden="1" customHeight="1">
      <c r="A256" s="71" t="s">
        <v>1922</v>
      </c>
      <c r="B256" s="79" t="s">
        <v>1923</v>
      </c>
      <c r="C256" s="81" t="s">
        <v>17</v>
      </c>
      <c r="D256" s="81" t="s">
        <v>45</v>
      </c>
      <c r="E256" s="81" t="s">
        <v>18</v>
      </c>
      <c r="F256" s="71" t="s">
        <v>42</v>
      </c>
      <c r="G256" s="81" t="s">
        <v>759</v>
      </c>
      <c r="H256" s="74" t="s">
        <v>1950</v>
      </c>
      <c r="I256" s="198" t="s">
        <v>1951</v>
      </c>
      <c r="J256" s="74"/>
      <c r="K256" s="97" t="s">
        <v>1794</v>
      </c>
      <c r="L256" s="81" t="s">
        <v>1913</v>
      </c>
      <c r="M256" s="277" t="s">
        <v>43</v>
      </c>
      <c r="N256" s="278" t="s">
        <v>1952</v>
      </c>
      <c r="O256" s="200"/>
      <c r="P256" s="200"/>
      <c r="Q256" s="78" t="s">
        <v>1953</v>
      </c>
      <c r="R256" s="81" t="s">
        <v>1954</v>
      </c>
      <c r="S256" s="81" t="s">
        <v>1955</v>
      </c>
      <c r="T256" s="71" t="s">
        <v>518</v>
      </c>
      <c r="U256" s="71" t="s">
        <v>755</v>
      </c>
      <c r="V256" s="71" t="s">
        <v>755</v>
      </c>
      <c r="W256" s="71"/>
      <c r="X256" s="277" t="s">
        <v>1916</v>
      </c>
      <c r="Y256" s="71" t="s">
        <v>1916</v>
      </c>
      <c r="Z256" s="71"/>
      <c r="AA256" s="179"/>
      <c r="AB256" s="178"/>
      <c r="AC256" s="52"/>
      <c r="AD256" s="52"/>
      <c r="AE256" s="52"/>
      <c r="AF256" s="52"/>
      <c r="AG256" s="52"/>
      <c r="AH256" s="260" t="s">
        <v>838</v>
      </c>
      <c r="AI256" s="164"/>
      <c r="AJ256" s="276"/>
    </row>
    <row r="257" spans="1:36" ht="12" hidden="1" customHeight="1">
      <c r="A257" s="71" t="s">
        <v>1922</v>
      </c>
      <c r="B257" s="79" t="s">
        <v>1923</v>
      </c>
      <c r="C257" s="81" t="s">
        <v>16</v>
      </c>
      <c r="D257" s="81" t="s">
        <v>45</v>
      </c>
      <c r="E257" s="81" t="s">
        <v>18</v>
      </c>
      <c r="F257" s="71" t="s">
        <v>42</v>
      </c>
      <c r="G257" s="81" t="s">
        <v>760</v>
      </c>
      <c r="H257" s="74" t="s">
        <v>1956</v>
      </c>
      <c r="I257" s="198" t="s">
        <v>1957</v>
      </c>
      <c r="J257" s="74"/>
      <c r="K257" s="97" t="s">
        <v>1794</v>
      </c>
      <c r="L257" s="81" t="s">
        <v>1913</v>
      </c>
      <c r="M257" s="277" t="s">
        <v>912</v>
      </c>
      <c r="N257" s="278" t="s">
        <v>1958</v>
      </c>
      <c r="O257" s="200"/>
      <c r="P257" s="200"/>
      <c r="Q257" s="78" t="s">
        <v>1959</v>
      </c>
      <c r="R257" s="81" t="s">
        <v>796</v>
      </c>
      <c r="S257" s="81" t="s">
        <v>1960</v>
      </c>
      <c r="T257" s="71" t="s">
        <v>1032</v>
      </c>
      <c r="U257" s="71" t="s">
        <v>755</v>
      </c>
      <c r="V257" s="71" t="s">
        <v>755</v>
      </c>
      <c r="W257" s="71"/>
      <c r="X257" s="277" t="s">
        <v>1916</v>
      </c>
      <c r="Y257" s="71" t="s">
        <v>1916</v>
      </c>
      <c r="Z257" s="71"/>
      <c r="AA257" s="180"/>
      <c r="AB257" s="178"/>
      <c r="AC257" s="52"/>
      <c r="AD257" s="52"/>
      <c r="AE257" s="52"/>
      <c r="AF257" s="52"/>
      <c r="AG257" s="52"/>
      <c r="AH257" s="260" t="s">
        <v>838</v>
      </c>
      <c r="AI257" s="164"/>
      <c r="AJ257" s="276"/>
    </row>
    <row r="258" spans="1:36" ht="12" hidden="1" customHeight="1">
      <c r="A258" s="97" t="s">
        <v>761</v>
      </c>
      <c r="B258" s="79" t="s">
        <v>762</v>
      </c>
      <c r="C258" s="81" t="s">
        <v>1732</v>
      </c>
      <c r="D258" s="81" t="s">
        <v>45</v>
      </c>
      <c r="E258" s="81" t="s">
        <v>18</v>
      </c>
      <c r="F258" s="71" t="s">
        <v>362</v>
      </c>
      <c r="G258" s="81" t="s">
        <v>1961</v>
      </c>
      <c r="H258" s="85" t="s">
        <v>1962</v>
      </c>
      <c r="I258" s="75" t="s">
        <v>1963</v>
      </c>
      <c r="J258" s="74"/>
      <c r="K258" s="97" t="s">
        <v>765</v>
      </c>
      <c r="L258" s="81" t="s">
        <v>1913</v>
      </c>
      <c r="M258" s="277" t="s">
        <v>43</v>
      </c>
      <c r="N258" s="278" t="s">
        <v>1964</v>
      </c>
      <c r="O258" s="78"/>
      <c r="P258" s="78"/>
      <c r="Q258" s="78" t="s">
        <v>1965</v>
      </c>
      <c r="R258" s="97" t="s">
        <v>1409</v>
      </c>
      <c r="S258" s="81"/>
      <c r="T258" s="97" t="s">
        <v>1032</v>
      </c>
      <c r="U258" s="97"/>
      <c r="V258" s="97"/>
      <c r="W258" s="99"/>
      <c r="X258" s="277" t="s">
        <v>1916</v>
      </c>
      <c r="Y258" s="71" t="s">
        <v>1916</v>
      </c>
      <c r="Z258" s="97"/>
      <c r="AA258" s="247"/>
      <c r="AB258" s="248"/>
      <c r="AC258" s="52"/>
      <c r="AD258" s="52"/>
      <c r="AE258" s="52"/>
      <c r="AF258" s="52"/>
      <c r="AG258" s="52"/>
      <c r="AH258" s="260" t="s">
        <v>838</v>
      </c>
      <c r="AI258" s="164"/>
      <c r="AJ258" s="276"/>
    </row>
    <row r="259" spans="1:36" ht="12" hidden="1" customHeight="1">
      <c r="A259" s="97" t="s">
        <v>761</v>
      </c>
      <c r="B259" s="79" t="s">
        <v>762</v>
      </c>
      <c r="C259" s="81" t="s">
        <v>16</v>
      </c>
      <c r="D259" s="81" t="s">
        <v>45</v>
      </c>
      <c r="E259" s="81" t="s">
        <v>18</v>
      </c>
      <c r="F259" s="71" t="s">
        <v>42</v>
      </c>
      <c r="G259" s="81" t="s">
        <v>1966</v>
      </c>
      <c r="H259" s="74" t="s">
        <v>1967</v>
      </c>
      <c r="I259" s="90" t="s">
        <v>1968</v>
      </c>
      <c r="J259" s="74"/>
      <c r="K259" s="97" t="s">
        <v>507</v>
      </c>
      <c r="L259" s="81" t="s">
        <v>1913</v>
      </c>
      <c r="M259" s="277" t="s">
        <v>912</v>
      </c>
      <c r="N259" s="278" t="s">
        <v>1969</v>
      </c>
      <c r="O259" s="78"/>
      <c r="P259" s="78"/>
      <c r="Q259" s="78" t="s">
        <v>1970</v>
      </c>
      <c r="R259" s="97" t="s">
        <v>1971</v>
      </c>
      <c r="S259" s="81"/>
      <c r="T259" s="97" t="s">
        <v>1343</v>
      </c>
      <c r="U259" s="97" t="s">
        <v>1917</v>
      </c>
      <c r="V259" s="97"/>
      <c r="W259" s="99"/>
      <c r="X259" s="277" t="s">
        <v>1916</v>
      </c>
      <c r="Y259" s="71" t="s">
        <v>1916</v>
      </c>
      <c r="Z259" s="97"/>
      <c r="AA259" s="193"/>
      <c r="AB259" s="248"/>
      <c r="AC259" s="52"/>
      <c r="AD259" s="52"/>
      <c r="AE259" s="52"/>
      <c r="AF259" s="52"/>
      <c r="AG259" s="52"/>
      <c r="AH259" s="260" t="s">
        <v>841</v>
      </c>
      <c r="AI259" s="164"/>
      <c r="AJ259" s="276"/>
    </row>
    <row r="260" spans="1:36" ht="12" hidden="1" customHeight="1">
      <c r="A260" s="71" t="s">
        <v>1922</v>
      </c>
      <c r="B260" s="79" t="s">
        <v>1923</v>
      </c>
      <c r="C260" s="81" t="s">
        <v>1558</v>
      </c>
      <c r="D260" s="81" t="s">
        <v>45</v>
      </c>
      <c r="E260" s="81" t="s">
        <v>18</v>
      </c>
      <c r="F260" s="71" t="s">
        <v>42</v>
      </c>
      <c r="G260" s="81" t="s">
        <v>767</v>
      </c>
      <c r="H260" s="74" t="s">
        <v>1972</v>
      </c>
      <c r="I260" s="75" t="s">
        <v>1973</v>
      </c>
      <c r="J260" s="74"/>
      <c r="K260" s="97" t="s">
        <v>1794</v>
      </c>
      <c r="L260" s="81" t="s">
        <v>1913</v>
      </c>
      <c r="M260" s="277" t="s">
        <v>912</v>
      </c>
      <c r="N260" s="278"/>
      <c r="O260" s="200"/>
      <c r="P260" s="200"/>
      <c r="Q260" s="78"/>
      <c r="R260" s="81" t="s">
        <v>790</v>
      </c>
      <c r="S260" s="81"/>
      <c r="T260" s="71" t="s">
        <v>1343</v>
      </c>
      <c r="U260" s="71"/>
      <c r="V260" s="71"/>
      <c r="W260" s="204"/>
      <c r="X260" s="277" t="s">
        <v>1916</v>
      </c>
      <c r="Y260" s="71" t="s">
        <v>1916</v>
      </c>
      <c r="Z260" s="71"/>
      <c r="AA260" s="50"/>
      <c r="AB260" s="50"/>
      <c r="AC260" s="52"/>
      <c r="AD260" s="52"/>
      <c r="AE260" s="52"/>
      <c r="AF260" s="52"/>
      <c r="AG260" s="52"/>
      <c r="AH260" s="260" t="s">
        <v>838</v>
      </c>
      <c r="AI260" s="164"/>
      <c r="AJ260" s="276"/>
    </row>
    <row r="261" spans="1:36" ht="12" hidden="1" customHeight="1">
      <c r="A261" s="71" t="s">
        <v>1922</v>
      </c>
      <c r="B261" s="79" t="s">
        <v>1923</v>
      </c>
      <c r="C261" s="81" t="s">
        <v>1558</v>
      </c>
      <c r="D261" s="81" t="s">
        <v>45</v>
      </c>
      <c r="E261" s="81" t="s">
        <v>18</v>
      </c>
      <c r="F261" s="71" t="s">
        <v>42</v>
      </c>
      <c r="G261" s="81" t="s">
        <v>1974</v>
      </c>
      <c r="H261" s="74" t="s">
        <v>1975</v>
      </c>
      <c r="I261" s="75" t="s">
        <v>1976</v>
      </c>
      <c r="J261" s="74"/>
      <c r="K261" s="97" t="s">
        <v>1794</v>
      </c>
      <c r="L261" s="81" t="s">
        <v>1913</v>
      </c>
      <c r="M261" s="277" t="s">
        <v>912</v>
      </c>
      <c r="N261" s="278"/>
      <c r="O261" s="200"/>
      <c r="P261" s="200"/>
      <c r="Q261" s="78" t="s">
        <v>1977</v>
      </c>
      <c r="R261" s="81" t="s">
        <v>1341</v>
      </c>
      <c r="S261" s="81"/>
      <c r="T261" s="71" t="s">
        <v>1343</v>
      </c>
      <c r="U261" s="204"/>
      <c r="V261" s="71"/>
      <c r="W261" s="204"/>
      <c r="X261" s="277" t="s">
        <v>1916</v>
      </c>
      <c r="Y261" s="71" t="s">
        <v>1916</v>
      </c>
      <c r="Z261" s="71"/>
      <c r="AA261" s="50"/>
      <c r="AB261" s="50"/>
      <c r="AC261" s="52"/>
      <c r="AD261" s="52"/>
      <c r="AE261" s="52"/>
      <c r="AF261" s="52"/>
      <c r="AG261" s="52"/>
      <c r="AH261" s="260" t="s">
        <v>839</v>
      </c>
      <c r="AI261" s="164"/>
      <c r="AJ261" s="276"/>
    </row>
    <row r="262" spans="1:36" ht="12" hidden="1" customHeight="1">
      <c r="A262" s="71" t="s">
        <v>1922</v>
      </c>
      <c r="B262" s="79" t="s">
        <v>1923</v>
      </c>
      <c r="C262" s="81" t="s">
        <v>17</v>
      </c>
      <c r="D262" s="81" t="s">
        <v>45</v>
      </c>
      <c r="E262" s="81" t="s">
        <v>18</v>
      </c>
      <c r="F262" s="71" t="s">
        <v>42</v>
      </c>
      <c r="G262" s="81" t="s">
        <v>769</v>
      </c>
      <c r="H262" s="74" t="s">
        <v>1978</v>
      </c>
      <c r="I262" s="75" t="s">
        <v>1979</v>
      </c>
      <c r="J262" s="74"/>
      <c r="K262" s="97" t="s">
        <v>1794</v>
      </c>
      <c r="L262" s="81" t="s">
        <v>1913</v>
      </c>
      <c r="M262" s="277" t="s">
        <v>43</v>
      </c>
      <c r="N262" s="278"/>
      <c r="O262" s="200"/>
      <c r="P262" s="200"/>
      <c r="Q262" s="78" t="s">
        <v>1980</v>
      </c>
      <c r="R262" s="81" t="s">
        <v>1341</v>
      </c>
      <c r="S262" s="81"/>
      <c r="T262" s="71" t="s">
        <v>1032</v>
      </c>
      <c r="U262" s="204"/>
      <c r="V262" s="71"/>
      <c r="W262" s="204"/>
      <c r="X262" s="277" t="s">
        <v>914</v>
      </c>
      <c r="Y262" s="71" t="s">
        <v>1981</v>
      </c>
      <c r="Z262" s="71"/>
      <c r="AA262" s="179"/>
      <c r="AB262" s="178"/>
      <c r="AC262" s="52"/>
      <c r="AD262" s="52"/>
      <c r="AE262" s="52"/>
      <c r="AF262" s="52"/>
      <c r="AG262" s="52"/>
      <c r="AH262" s="260" t="s">
        <v>847</v>
      </c>
      <c r="AI262" s="164"/>
      <c r="AJ262" s="276"/>
    </row>
    <row r="263" spans="1:36" ht="12" hidden="1" customHeight="1">
      <c r="A263" s="71" t="s">
        <v>1922</v>
      </c>
      <c r="B263" s="79" t="s">
        <v>1923</v>
      </c>
      <c r="C263" s="81" t="s">
        <v>1558</v>
      </c>
      <c r="D263" s="81" t="s">
        <v>45</v>
      </c>
      <c r="E263" s="81" t="s">
        <v>18</v>
      </c>
      <c r="F263" s="71" t="s">
        <v>42</v>
      </c>
      <c r="G263" s="81" t="s">
        <v>1982</v>
      </c>
      <c r="H263" s="74" t="s">
        <v>1983</v>
      </c>
      <c r="I263" s="75" t="s">
        <v>1984</v>
      </c>
      <c r="J263" s="74"/>
      <c r="K263" s="97" t="s">
        <v>1794</v>
      </c>
      <c r="L263" s="81" t="s">
        <v>1913</v>
      </c>
      <c r="M263" s="277" t="s">
        <v>43</v>
      </c>
      <c r="N263" s="283" t="s">
        <v>1985</v>
      </c>
      <c r="O263" s="200"/>
      <c r="P263" s="200"/>
      <c r="Q263" s="78" t="s">
        <v>1986</v>
      </c>
      <c r="R263" s="81" t="s">
        <v>1740</v>
      </c>
      <c r="S263" s="81"/>
      <c r="T263" s="71" t="s">
        <v>1032</v>
      </c>
      <c r="U263" s="204"/>
      <c r="V263" s="71"/>
      <c r="W263" s="204"/>
      <c r="X263" s="277" t="s">
        <v>914</v>
      </c>
      <c r="Y263" s="71" t="s">
        <v>1981</v>
      </c>
      <c r="Z263" s="71"/>
      <c r="AA263" s="179"/>
      <c r="AB263" s="178"/>
      <c r="AC263" s="52"/>
      <c r="AD263" s="52"/>
      <c r="AE263" s="52"/>
      <c r="AF263" s="52"/>
      <c r="AG263" s="52"/>
      <c r="AH263" s="260" t="s">
        <v>846</v>
      </c>
      <c r="AI263" s="164"/>
      <c r="AJ263" s="276"/>
    </row>
    <row r="264" spans="1:36" ht="12" hidden="1" customHeight="1">
      <c r="A264" s="71" t="s">
        <v>1922</v>
      </c>
      <c r="B264" s="79" t="s">
        <v>1923</v>
      </c>
      <c r="C264" s="81" t="s">
        <v>17</v>
      </c>
      <c r="D264" s="81" t="s">
        <v>45</v>
      </c>
      <c r="E264" s="81" t="s">
        <v>18</v>
      </c>
      <c r="F264" s="71" t="s">
        <v>42</v>
      </c>
      <c r="G264" s="81" t="s">
        <v>1987</v>
      </c>
      <c r="H264" s="74" t="s">
        <v>1988</v>
      </c>
      <c r="I264" s="87" t="s">
        <v>1989</v>
      </c>
      <c r="J264" s="74"/>
      <c r="K264" s="97" t="s">
        <v>1794</v>
      </c>
      <c r="L264" s="81" t="s">
        <v>1913</v>
      </c>
      <c r="M264" s="277" t="s">
        <v>43</v>
      </c>
      <c r="N264" s="283" t="s">
        <v>1990</v>
      </c>
      <c r="O264" s="200"/>
      <c r="P264" s="200"/>
      <c r="Q264" s="78" t="s">
        <v>1991</v>
      </c>
      <c r="R264" s="81" t="s">
        <v>1740</v>
      </c>
      <c r="S264" s="81"/>
      <c r="T264" s="71" t="s">
        <v>1032</v>
      </c>
      <c r="U264" s="204"/>
      <c r="V264" s="71"/>
      <c r="W264" s="204"/>
      <c r="X264" s="277" t="s">
        <v>1916</v>
      </c>
      <c r="Y264" s="71" t="s">
        <v>1981</v>
      </c>
      <c r="Z264" s="71"/>
      <c r="AA264" s="179"/>
      <c r="AB264" s="178"/>
      <c r="AC264" s="52"/>
      <c r="AD264" s="52"/>
      <c r="AE264" s="52"/>
      <c r="AF264" s="52"/>
      <c r="AG264" s="52"/>
      <c r="AH264" s="260" t="s">
        <v>845</v>
      </c>
      <c r="AI264" s="164"/>
      <c r="AJ264" s="276"/>
    </row>
    <row r="265" spans="1:36" ht="12" hidden="1" customHeight="1">
      <c r="A265" s="236" t="s">
        <v>761</v>
      </c>
      <c r="B265" s="237" t="s">
        <v>762</v>
      </c>
      <c r="C265" s="83" t="s">
        <v>16</v>
      </c>
      <c r="D265" s="83" t="s">
        <v>45</v>
      </c>
      <c r="E265" s="83" t="s">
        <v>1336</v>
      </c>
      <c r="F265" s="236" t="s">
        <v>42</v>
      </c>
      <c r="G265" s="83" t="s">
        <v>779</v>
      </c>
      <c r="H265" s="224" t="s">
        <v>770</v>
      </c>
      <c r="I265" s="92" t="s">
        <v>802</v>
      </c>
      <c r="J265" s="196"/>
      <c r="K265" s="170" t="s">
        <v>507</v>
      </c>
      <c r="L265" s="83" t="s">
        <v>803</v>
      </c>
      <c r="M265" s="266" t="s">
        <v>820</v>
      </c>
      <c r="N265" s="265" t="s">
        <v>1992</v>
      </c>
      <c r="O265" s="166"/>
      <c r="P265" s="240"/>
      <c r="Q265" s="225" t="s">
        <v>819</v>
      </c>
      <c r="R265" s="83" t="s">
        <v>791</v>
      </c>
      <c r="S265" s="83" t="s">
        <v>804</v>
      </c>
      <c r="T265" s="71" t="s">
        <v>764</v>
      </c>
      <c r="U265" s="204"/>
      <c r="V265" s="71"/>
      <c r="W265" s="204"/>
      <c r="X265" s="71" t="s">
        <v>752</v>
      </c>
      <c r="Y265" s="97" t="s">
        <v>789</v>
      </c>
      <c r="Z265" s="71"/>
      <c r="AA265" s="179"/>
      <c r="AB265" s="178"/>
      <c r="AC265" s="52"/>
      <c r="AD265" s="52"/>
      <c r="AE265" s="232"/>
      <c r="AF265" s="232"/>
      <c r="AG265" s="232"/>
      <c r="AH265" s="260" t="s">
        <v>842</v>
      </c>
      <c r="AI265" s="249"/>
      <c r="AJ265" s="276"/>
    </row>
    <row r="266" spans="1:36" ht="12" hidden="1" customHeight="1">
      <c r="A266" s="236" t="s">
        <v>761</v>
      </c>
      <c r="B266" s="237" t="s">
        <v>762</v>
      </c>
      <c r="C266" s="83" t="s">
        <v>16</v>
      </c>
      <c r="D266" s="83" t="s">
        <v>45</v>
      </c>
      <c r="E266" s="83" t="s">
        <v>1336</v>
      </c>
      <c r="F266" s="236" t="s">
        <v>42</v>
      </c>
      <c r="G266" s="83" t="s">
        <v>780</v>
      </c>
      <c r="H266" s="224" t="s">
        <v>771</v>
      </c>
      <c r="I266" s="92" t="s">
        <v>805</v>
      </c>
      <c r="J266" s="196"/>
      <c r="K266" s="170" t="s">
        <v>507</v>
      </c>
      <c r="L266" s="83" t="s">
        <v>803</v>
      </c>
      <c r="M266" s="266" t="s">
        <v>820</v>
      </c>
      <c r="N266" s="265" t="s">
        <v>1993</v>
      </c>
      <c r="O266" s="241"/>
      <c r="P266" s="240"/>
      <c r="Q266" s="225" t="s">
        <v>819</v>
      </c>
      <c r="R266" s="83" t="s">
        <v>791</v>
      </c>
      <c r="S266" s="83" t="s">
        <v>806</v>
      </c>
      <c r="T266" s="71" t="s">
        <v>518</v>
      </c>
      <c r="U266" s="204"/>
      <c r="V266" s="71"/>
      <c r="W266" s="204"/>
      <c r="X266" s="71" t="s">
        <v>752</v>
      </c>
      <c r="Y266" s="97" t="s">
        <v>789</v>
      </c>
      <c r="Z266" s="71"/>
      <c r="AA266" s="179"/>
      <c r="AB266" s="178"/>
      <c r="AC266" s="52"/>
      <c r="AD266" s="52"/>
      <c r="AE266" s="232"/>
      <c r="AF266" s="232"/>
      <c r="AG266" s="232"/>
      <c r="AH266" s="260" t="s">
        <v>842</v>
      </c>
      <c r="AI266" s="249"/>
      <c r="AJ266" s="276"/>
    </row>
    <row r="267" spans="1:36" ht="12" hidden="1" customHeight="1">
      <c r="A267" s="236" t="s">
        <v>761</v>
      </c>
      <c r="B267" s="237" t="s">
        <v>762</v>
      </c>
      <c r="C267" s="83" t="s">
        <v>16</v>
      </c>
      <c r="D267" s="83" t="s">
        <v>45</v>
      </c>
      <c r="E267" s="83" t="s">
        <v>19</v>
      </c>
      <c r="F267" s="236" t="s">
        <v>42</v>
      </c>
      <c r="G267" s="83" t="s">
        <v>781</v>
      </c>
      <c r="H267" s="224" t="s">
        <v>772</v>
      </c>
      <c r="I267" s="92" t="s">
        <v>807</v>
      </c>
      <c r="J267" s="196"/>
      <c r="K267" s="170" t="s">
        <v>507</v>
      </c>
      <c r="L267" s="83" t="s">
        <v>803</v>
      </c>
      <c r="M267" s="266" t="s">
        <v>820</v>
      </c>
      <c r="N267" s="265" t="s">
        <v>1994</v>
      </c>
      <c r="O267" s="241"/>
      <c r="P267" s="240"/>
      <c r="Q267" s="225" t="s">
        <v>819</v>
      </c>
      <c r="R267" s="83" t="s">
        <v>791</v>
      </c>
      <c r="S267" s="83" t="s">
        <v>804</v>
      </c>
      <c r="T267" s="71" t="s">
        <v>764</v>
      </c>
      <c r="U267" s="204"/>
      <c r="V267" s="71"/>
      <c r="W267" s="204"/>
      <c r="X267" s="71" t="s">
        <v>752</v>
      </c>
      <c r="Y267" s="97" t="s">
        <v>789</v>
      </c>
      <c r="Z267" s="71"/>
      <c r="AA267" s="179"/>
      <c r="AB267" s="178"/>
      <c r="AC267" s="52"/>
      <c r="AD267" s="52"/>
      <c r="AE267" s="232"/>
      <c r="AF267" s="232"/>
      <c r="AG267" s="232"/>
      <c r="AH267" s="260" t="s">
        <v>842</v>
      </c>
      <c r="AI267" s="249"/>
      <c r="AJ267" s="276"/>
    </row>
    <row r="268" spans="1:36" ht="12" hidden="1" customHeight="1">
      <c r="A268" s="236" t="s">
        <v>761</v>
      </c>
      <c r="B268" s="237" t="s">
        <v>762</v>
      </c>
      <c r="C268" s="83" t="s">
        <v>16</v>
      </c>
      <c r="D268" s="83" t="s">
        <v>45</v>
      </c>
      <c r="E268" s="83" t="s">
        <v>19</v>
      </c>
      <c r="F268" s="236" t="s">
        <v>42</v>
      </c>
      <c r="G268" s="83" t="s">
        <v>782</v>
      </c>
      <c r="H268" s="224" t="s">
        <v>773</v>
      </c>
      <c r="I268" s="92" t="s">
        <v>808</v>
      </c>
      <c r="J268" s="196"/>
      <c r="K268" s="170" t="s">
        <v>507</v>
      </c>
      <c r="L268" s="83" t="s">
        <v>803</v>
      </c>
      <c r="M268" s="266" t="s">
        <v>820</v>
      </c>
      <c r="N268" s="265" t="s">
        <v>1995</v>
      </c>
      <c r="O268" s="241"/>
      <c r="P268" s="240"/>
      <c r="Q268" s="225" t="s">
        <v>819</v>
      </c>
      <c r="R268" s="83" t="s">
        <v>791</v>
      </c>
      <c r="S268" s="83" t="s">
        <v>804</v>
      </c>
      <c r="T268" s="71" t="s">
        <v>764</v>
      </c>
      <c r="U268" s="204"/>
      <c r="V268" s="71"/>
      <c r="W268" s="204"/>
      <c r="X268" s="71" t="s">
        <v>752</v>
      </c>
      <c r="Y268" s="97" t="s">
        <v>789</v>
      </c>
      <c r="Z268" s="71"/>
      <c r="AA268" s="180"/>
      <c r="AB268" s="178"/>
      <c r="AC268" s="52"/>
      <c r="AD268" s="52"/>
      <c r="AE268" s="232"/>
      <c r="AF268" s="232"/>
      <c r="AG268" s="232"/>
      <c r="AH268" s="260" t="s">
        <v>842</v>
      </c>
      <c r="AI268" s="249"/>
      <c r="AJ268" s="276"/>
    </row>
    <row r="269" spans="1:36" ht="12" hidden="1" customHeight="1">
      <c r="A269" s="236" t="s">
        <v>761</v>
      </c>
      <c r="B269" s="237" t="s">
        <v>762</v>
      </c>
      <c r="C269" s="83" t="s">
        <v>16</v>
      </c>
      <c r="D269" s="83" t="s">
        <v>45</v>
      </c>
      <c r="E269" s="83" t="s">
        <v>19</v>
      </c>
      <c r="F269" s="236" t="s">
        <v>42</v>
      </c>
      <c r="G269" s="83" t="s">
        <v>783</v>
      </c>
      <c r="H269" s="224" t="s">
        <v>774</v>
      </c>
      <c r="I269" s="92" t="s">
        <v>809</v>
      </c>
      <c r="J269" s="196"/>
      <c r="K269" s="170" t="s">
        <v>507</v>
      </c>
      <c r="L269" s="83" t="s">
        <v>803</v>
      </c>
      <c r="M269" s="266" t="s">
        <v>820</v>
      </c>
      <c r="N269" s="265" t="s">
        <v>1996</v>
      </c>
      <c r="O269" s="241"/>
      <c r="P269" s="240"/>
      <c r="Q269" s="225" t="s">
        <v>819</v>
      </c>
      <c r="R269" s="83" t="s">
        <v>791</v>
      </c>
      <c r="S269" s="83" t="s">
        <v>804</v>
      </c>
      <c r="T269" s="71" t="s">
        <v>764</v>
      </c>
      <c r="U269" s="204"/>
      <c r="V269" s="71"/>
      <c r="W269" s="204"/>
      <c r="X269" s="71" t="s">
        <v>752</v>
      </c>
      <c r="Y269" s="97" t="s">
        <v>789</v>
      </c>
      <c r="Z269" s="71"/>
      <c r="AA269" s="179"/>
      <c r="AB269" s="178"/>
      <c r="AC269" s="52"/>
      <c r="AD269" s="52"/>
      <c r="AE269" s="232"/>
      <c r="AF269" s="232"/>
      <c r="AG269" s="232"/>
      <c r="AH269" s="260" t="s">
        <v>842</v>
      </c>
      <c r="AI269" s="249"/>
      <c r="AJ269" s="276"/>
    </row>
    <row r="270" spans="1:36" ht="12" hidden="1" customHeight="1">
      <c r="A270" s="236" t="s">
        <v>761</v>
      </c>
      <c r="B270" s="237" t="s">
        <v>762</v>
      </c>
      <c r="C270" s="83" t="s">
        <v>16</v>
      </c>
      <c r="D270" s="83" t="s">
        <v>45</v>
      </c>
      <c r="E270" s="83" t="s">
        <v>19</v>
      </c>
      <c r="F270" s="236" t="s">
        <v>42</v>
      </c>
      <c r="G270" s="83" t="s">
        <v>784</v>
      </c>
      <c r="H270" s="224" t="s">
        <v>775</v>
      </c>
      <c r="I270" s="92" t="s">
        <v>810</v>
      </c>
      <c r="J270" s="196"/>
      <c r="K270" s="170" t="s">
        <v>507</v>
      </c>
      <c r="L270" s="83" t="s">
        <v>803</v>
      </c>
      <c r="M270" s="266" t="s">
        <v>820</v>
      </c>
      <c r="N270" s="265" t="s">
        <v>1997</v>
      </c>
      <c r="O270" s="242"/>
      <c r="P270" s="240"/>
      <c r="Q270" s="225" t="s">
        <v>819</v>
      </c>
      <c r="R270" s="83" t="s">
        <v>791</v>
      </c>
      <c r="S270" s="83" t="s">
        <v>804</v>
      </c>
      <c r="T270" s="71" t="s">
        <v>764</v>
      </c>
      <c r="U270" s="204"/>
      <c r="V270" s="71"/>
      <c r="W270" s="204"/>
      <c r="X270" s="71" t="s">
        <v>752</v>
      </c>
      <c r="Y270" s="97" t="s">
        <v>789</v>
      </c>
      <c r="Z270" s="71"/>
      <c r="AA270" s="179"/>
      <c r="AB270" s="178"/>
      <c r="AC270" s="52"/>
      <c r="AD270" s="52"/>
      <c r="AE270" s="232"/>
      <c r="AF270" s="232"/>
      <c r="AG270" s="232"/>
      <c r="AH270" s="260" t="s">
        <v>842</v>
      </c>
      <c r="AI270" s="249"/>
      <c r="AJ270" s="276"/>
    </row>
    <row r="271" spans="1:36" ht="12" hidden="1" customHeight="1">
      <c r="A271" s="236" t="s">
        <v>761</v>
      </c>
      <c r="B271" s="237" t="s">
        <v>762</v>
      </c>
      <c r="C271" s="83" t="s">
        <v>16</v>
      </c>
      <c r="D271" s="83" t="s">
        <v>45</v>
      </c>
      <c r="E271" s="83" t="s">
        <v>19</v>
      </c>
      <c r="F271" s="236" t="s">
        <v>42</v>
      </c>
      <c r="G271" s="83" t="s">
        <v>785</v>
      </c>
      <c r="H271" s="224" t="s">
        <v>776</v>
      </c>
      <c r="I271" s="92" t="s">
        <v>811</v>
      </c>
      <c r="J271" s="196"/>
      <c r="K271" s="170" t="s">
        <v>507</v>
      </c>
      <c r="L271" s="83" t="s">
        <v>803</v>
      </c>
      <c r="M271" s="266" t="s">
        <v>820</v>
      </c>
      <c r="N271" s="265" t="s">
        <v>1998</v>
      </c>
      <c r="O271" s="241"/>
      <c r="P271" s="240"/>
      <c r="Q271" s="225" t="s">
        <v>819</v>
      </c>
      <c r="R271" s="83" t="s">
        <v>791</v>
      </c>
      <c r="S271" s="83" t="s">
        <v>812</v>
      </c>
      <c r="T271" s="71" t="s">
        <v>764</v>
      </c>
      <c r="U271" s="204"/>
      <c r="V271" s="71"/>
      <c r="W271" s="204"/>
      <c r="X271" s="71" t="s">
        <v>752</v>
      </c>
      <c r="Y271" s="97" t="s">
        <v>789</v>
      </c>
      <c r="Z271" s="71"/>
      <c r="AA271" s="180"/>
      <c r="AB271" s="178"/>
      <c r="AC271" s="52"/>
      <c r="AD271" s="52"/>
      <c r="AE271" s="232"/>
      <c r="AF271" s="232"/>
      <c r="AG271" s="232"/>
      <c r="AH271" s="260" t="s">
        <v>842</v>
      </c>
      <c r="AI271" s="249"/>
      <c r="AJ271" s="276"/>
    </row>
    <row r="272" spans="1:36" ht="12" hidden="1" customHeight="1">
      <c r="A272" s="236" t="s">
        <v>761</v>
      </c>
      <c r="B272" s="237" t="s">
        <v>762</v>
      </c>
      <c r="C272" s="83" t="s">
        <v>16</v>
      </c>
      <c r="D272" s="83" t="s">
        <v>45</v>
      </c>
      <c r="E272" s="83" t="s">
        <v>19</v>
      </c>
      <c r="F272" s="236" t="s">
        <v>42</v>
      </c>
      <c r="G272" s="83" t="s">
        <v>786</v>
      </c>
      <c r="H272" s="224" t="s">
        <v>777</v>
      </c>
      <c r="I272" s="92" t="s">
        <v>794</v>
      </c>
      <c r="J272" s="196"/>
      <c r="K272" s="170" t="s">
        <v>507</v>
      </c>
      <c r="L272" s="83" t="s">
        <v>803</v>
      </c>
      <c r="M272" s="266" t="s">
        <v>820</v>
      </c>
      <c r="N272" s="265" t="s">
        <v>1999</v>
      </c>
      <c r="O272" s="241"/>
      <c r="P272" s="240"/>
      <c r="Q272" s="225" t="s">
        <v>819</v>
      </c>
      <c r="R272" s="83" t="s">
        <v>791</v>
      </c>
      <c r="S272" s="83" t="s">
        <v>813</v>
      </c>
      <c r="T272" s="71" t="s">
        <v>518</v>
      </c>
      <c r="U272" s="204"/>
      <c r="V272" s="71"/>
      <c r="W272" s="204"/>
      <c r="X272" s="71" t="s">
        <v>752</v>
      </c>
      <c r="Y272" s="97" t="s">
        <v>789</v>
      </c>
      <c r="Z272" s="71"/>
      <c r="AA272" s="179"/>
      <c r="AB272" s="178"/>
      <c r="AC272" s="52"/>
      <c r="AD272" s="52"/>
      <c r="AE272" s="232"/>
      <c r="AF272" s="232"/>
      <c r="AG272" s="232"/>
      <c r="AH272" s="260" t="s">
        <v>842</v>
      </c>
      <c r="AI272" s="249"/>
      <c r="AJ272" s="276"/>
    </row>
    <row r="273" spans="1:36" ht="12" hidden="1" customHeight="1">
      <c r="A273" s="71" t="s">
        <v>1922</v>
      </c>
      <c r="B273" s="79" t="s">
        <v>1923</v>
      </c>
      <c r="C273" s="81" t="s">
        <v>1558</v>
      </c>
      <c r="D273" s="81" t="s">
        <v>45</v>
      </c>
      <c r="E273" s="81" t="s">
        <v>18</v>
      </c>
      <c r="F273" s="71" t="s">
        <v>42</v>
      </c>
      <c r="G273" s="81" t="s">
        <v>787</v>
      </c>
      <c r="H273" s="74" t="s">
        <v>2000</v>
      </c>
      <c r="I273" s="75" t="s">
        <v>2001</v>
      </c>
      <c r="J273" s="107"/>
      <c r="K273" s="97" t="s">
        <v>1794</v>
      </c>
      <c r="L273" s="81" t="s">
        <v>1913</v>
      </c>
      <c r="M273" s="284" t="s">
        <v>43</v>
      </c>
      <c r="N273" s="285" t="s">
        <v>2002</v>
      </c>
      <c r="O273" s="205"/>
      <c r="P273" s="205"/>
      <c r="Q273" s="78"/>
      <c r="R273" s="81" t="s">
        <v>792</v>
      </c>
      <c r="S273" s="81"/>
      <c r="T273" s="71" t="s">
        <v>1343</v>
      </c>
      <c r="U273" s="204" t="s">
        <v>2003</v>
      </c>
      <c r="V273" s="71" t="s">
        <v>2004</v>
      </c>
      <c r="W273" s="204"/>
      <c r="X273" s="277" t="s">
        <v>1916</v>
      </c>
      <c r="Y273" s="206" t="s">
        <v>2005</v>
      </c>
      <c r="Z273" s="207"/>
      <c r="AA273" s="180"/>
      <c r="AB273" s="178"/>
      <c r="AC273" s="52"/>
      <c r="AD273" s="52"/>
      <c r="AE273" s="52"/>
      <c r="AF273" s="52"/>
      <c r="AG273" s="52"/>
      <c r="AH273" s="260" t="s">
        <v>840</v>
      </c>
      <c r="AI273" s="164"/>
      <c r="AJ273" s="276"/>
    </row>
    <row r="274" spans="1:36" ht="12" hidden="1" customHeight="1">
      <c r="A274" s="71" t="s">
        <v>1922</v>
      </c>
      <c r="B274" s="79" t="s">
        <v>1923</v>
      </c>
      <c r="C274" s="81" t="s">
        <v>1558</v>
      </c>
      <c r="D274" s="81" t="s">
        <v>45</v>
      </c>
      <c r="E274" s="81" t="s">
        <v>18</v>
      </c>
      <c r="F274" s="71" t="s">
        <v>42</v>
      </c>
      <c r="G274" s="81" t="s">
        <v>2006</v>
      </c>
      <c r="H274" s="74" t="s">
        <v>2007</v>
      </c>
      <c r="I274" s="75" t="s">
        <v>2008</v>
      </c>
      <c r="J274" s="107"/>
      <c r="K274" s="97" t="s">
        <v>1794</v>
      </c>
      <c r="L274" s="81" t="s">
        <v>1913</v>
      </c>
      <c r="M274" s="284" t="s">
        <v>505</v>
      </c>
      <c r="N274" s="285" t="s">
        <v>2009</v>
      </c>
      <c r="O274" s="205"/>
      <c r="P274" s="205"/>
      <c r="Q274" s="78" t="s">
        <v>2010</v>
      </c>
      <c r="R274" s="81" t="s">
        <v>792</v>
      </c>
      <c r="S274" s="81"/>
      <c r="T274" s="71" t="s">
        <v>1343</v>
      </c>
      <c r="U274" s="99" t="s">
        <v>2011</v>
      </c>
      <c r="V274" s="97" t="s">
        <v>2012</v>
      </c>
      <c r="W274" s="204"/>
      <c r="X274" s="277" t="s">
        <v>1916</v>
      </c>
      <c r="Y274" s="206" t="s">
        <v>2005</v>
      </c>
      <c r="Z274" s="207"/>
      <c r="AA274" s="180"/>
      <c r="AB274" s="178"/>
      <c r="AC274" s="52"/>
      <c r="AD274" s="52"/>
      <c r="AE274" s="52"/>
      <c r="AF274" s="52"/>
      <c r="AG274" s="52"/>
      <c r="AH274" s="260" t="s">
        <v>840</v>
      </c>
      <c r="AI274" s="164"/>
      <c r="AJ274" s="279">
        <v>44323</v>
      </c>
    </row>
    <row r="275" spans="1:36" ht="12" hidden="1" customHeight="1">
      <c r="A275" s="71" t="s">
        <v>1922</v>
      </c>
      <c r="B275" s="79" t="s">
        <v>1923</v>
      </c>
      <c r="C275" s="81" t="s">
        <v>1558</v>
      </c>
      <c r="D275" s="81" t="s">
        <v>45</v>
      </c>
      <c r="E275" s="81" t="s">
        <v>18</v>
      </c>
      <c r="F275" s="71" t="s">
        <v>42</v>
      </c>
      <c r="G275" s="81" t="s">
        <v>788</v>
      </c>
      <c r="H275" s="74" t="s">
        <v>2013</v>
      </c>
      <c r="I275" s="208" t="s">
        <v>2014</v>
      </c>
      <c r="J275" s="107"/>
      <c r="K275" s="97" t="s">
        <v>1794</v>
      </c>
      <c r="L275" s="81" t="s">
        <v>1913</v>
      </c>
      <c r="M275" s="284" t="s">
        <v>43</v>
      </c>
      <c r="N275" s="285" t="s">
        <v>2015</v>
      </c>
      <c r="O275" s="205"/>
      <c r="P275" s="205"/>
      <c r="Q275" s="78"/>
      <c r="R275" s="81" t="s">
        <v>792</v>
      </c>
      <c r="S275" s="81"/>
      <c r="T275" s="71" t="s">
        <v>1032</v>
      </c>
      <c r="U275" s="204"/>
      <c r="V275" s="71"/>
      <c r="W275" s="204"/>
      <c r="X275" s="277" t="s">
        <v>1916</v>
      </c>
      <c r="Y275" s="206" t="s">
        <v>2005</v>
      </c>
      <c r="Z275" s="207"/>
      <c r="AA275" s="180"/>
      <c r="AB275" s="178"/>
      <c r="AC275" s="52"/>
      <c r="AD275" s="52"/>
      <c r="AE275" s="52"/>
      <c r="AF275" s="52"/>
      <c r="AG275" s="52"/>
      <c r="AH275" s="260" t="s">
        <v>840</v>
      </c>
      <c r="AI275" s="164"/>
      <c r="AJ275" s="276"/>
    </row>
    <row r="276" spans="1:36" ht="12" hidden="1" customHeight="1">
      <c r="A276" s="97" t="s">
        <v>148</v>
      </c>
      <c r="B276" s="76" t="s">
        <v>2016</v>
      </c>
      <c r="C276" s="81" t="s">
        <v>16</v>
      </c>
      <c r="D276" s="81" t="s">
        <v>45</v>
      </c>
      <c r="E276" s="81" t="s">
        <v>18</v>
      </c>
      <c r="F276" s="95" t="s">
        <v>939</v>
      </c>
      <c r="G276" s="81" t="s">
        <v>2017</v>
      </c>
      <c r="H276" s="76" t="s">
        <v>2018</v>
      </c>
      <c r="I276" s="75" t="s">
        <v>2019</v>
      </c>
      <c r="J276" s="49"/>
      <c r="K276" s="95" t="s">
        <v>507</v>
      </c>
      <c r="L276" s="38" t="s">
        <v>905</v>
      </c>
      <c r="M276" s="258" t="s">
        <v>912</v>
      </c>
      <c r="N276" s="259" t="s">
        <v>2020</v>
      </c>
      <c r="O276" s="155"/>
      <c r="P276" s="155"/>
      <c r="Q276" s="78" t="s">
        <v>2021</v>
      </c>
      <c r="R276" s="81" t="s">
        <v>1620</v>
      </c>
      <c r="S276" s="97" t="s">
        <v>2022</v>
      </c>
      <c r="T276" s="124" t="s">
        <v>1343</v>
      </c>
      <c r="U276" s="95" t="s">
        <v>1221</v>
      </c>
      <c r="V276" s="95" t="s">
        <v>1227</v>
      </c>
      <c r="W276" s="143"/>
      <c r="X276" s="97" t="s">
        <v>1916</v>
      </c>
      <c r="Y276" s="97" t="s">
        <v>639</v>
      </c>
      <c r="Z276" s="174"/>
      <c r="AA276" s="180"/>
      <c r="AB276" s="178"/>
      <c r="AC276" s="151"/>
      <c r="AD276" s="151"/>
      <c r="AE276" s="151"/>
      <c r="AF276" s="151"/>
      <c r="AG276" s="151"/>
      <c r="AH276" s="260" t="s">
        <v>838</v>
      </c>
      <c r="AI276" s="159"/>
      <c r="AJ276" s="261"/>
    </row>
    <row r="277" spans="1:36" ht="12" hidden="1" customHeight="1">
      <c r="A277" s="286" t="s">
        <v>2023</v>
      </c>
      <c r="B277" s="73" t="s">
        <v>2024</v>
      </c>
      <c r="C277" s="212" t="s">
        <v>16</v>
      </c>
      <c r="D277" s="212" t="s">
        <v>45</v>
      </c>
      <c r="E277" s="212" t="s">
        <v>18</v>
      </c>
      <c r="F277" s="212" t="s">
        <v>939</v>
      </c>
      <c r="G277" s="81" t="s">
        <v>2025</v>
      </c>
      <c r="H277" s="73" t="s">
        <v>2024</v>
      </c>
      <c r="I277" s="89" t="s">
        <v>2026</v>
      </c>
      <c r="J277" s="213"/>
      <c r="K277" s="95" t="s">
        <v>507</v>
      </c>
      <c r="L277" s="38" t="s">
        <v>905</v>
      </c>
      <c r="M277" s="219" t="s">
        <v>505</v>
      </c>
      <c r="N277" s="285" t="s">
        <v>2027</v>
      </c>
      <c r="O277" s="182"/>
      <c r="P277" s="182"/>
      <c r="Q277" s="99" t="s">
        <v>1340</v>
      </c>
      <c r="R277" s="71" t="s">
        <v>1341</v>
      </c>
      <c r="S277" s="71" t="s">
        <v>1342</v>
      </c>
      <c r="T277" s="124" t="s">
        <v>1343</v>
      </c>
      <c r="U277" s="97" t="s">
        <v>1344</v>
      </c>
      <c r="V277" s="97" t="s">
        <v>2028</v>
      </c>
      <c r="W277" s="287"/>
      <c r="X277" s="71" t="s">
        <v>1345</v>
      </c>
      <c r="Y277" s="71" t="s">
        <v>2029</v>
      </c>
      <c r="Z277" s="214"/>
      <c r="AA277" s="185"/>
      <c r="AB277" s="182"/>
      <c r="AC277" s="52"/>
      <c r="AD277" s="52"/>
      <c r="AE277" s="52"/>
      <c r="AF277" s="52"/>
      <c r="AG277" s="52"/>
      <c r="AH277" s="260" t="s">
        <v>842</v>
      </c>
      <c r="AI277" s="164"/>
      <c r="AJ277" s="263">
        <v>44347</v>
      </c>
    </row>
    <row r="278" spans="1:36" ht="12" hidden="1" customHeight="1">
      <c r="A278" s="286" t="s">
        <v>2030</v>
      </c>
      <c r="B278" s="76" t="s">
        <v>2031</v>
      </c>
      <c r="C278" s="212" t="s">
        <v>16</v>
      </c>
      <c r="D278" s="212" t="s">
        <v>45</v>
      </c>
      <c r="E278" s="212" t="s">
        <v>18</v>
      </c>
      <c r="F278" s="212" t="s">
        <v>939</v>
      </c>
      <c r="G278" s="81" t="s">
        <v>2032</v>
      </c>
      <c r="H278" s="76" t="s">
        <v>814</v>
      </c>
      <c r="I278" s="87" t="s">
        <v>2033</v>
      </c>
      <c r="J278" s="213"/>
      <c r="K278" s="95" t="s">
        <v>507</v>
      </c>
      <c r="L278" s="38" t="s">
        <v>905</v>
      </c>
      <c r="M278" s="219" t="s">
        <v>505</v>
      </c>
      <c r="N278" s="285" t="s">
        <v>2034</v>
      </c>
      <c r="O278" s="182"/>
      <c r="P278" s="182"/>
      <c r="Q278" s="99" t="s">
        <v>1340</v>
      </c>
      <c r="R278" s="71" t="s">
        <v>1341</v>
      </c>
      <c r="S278" s="71" t="s">
        <v>1342</v>
      </c>
      <c r="T278" s="124" t="s">
        <v>1343</v>
      </c>
      <c r="U278" s="97" t="s">
        <v>1344</v>
      </c>
      <c r="V278" s="97" t="s">
        <v>2035</v>
      </c>
      <c r="W278" s="71"/>
      <c r="X278" s="71" t="s">
        <v>1345</v>
      </c>
      <c r="Y278" s="71" t="s">
        <v>2029</v>
      </c>
      <c r="Z278" s="214"/>
      <c r="AA278" s="185"/>
      <c r="AB278" s="182"/>
      <c r="AC278" s="52"/>
      <c r="AD278" s="52"/>
      <c r="AE278" s="52"/>
      <c r="AF278" s="52"/>
      <c r="AG278" s="52"/>
      <c r="AH278" s="260" t="s">
        <v>842</v>
      </c>
      <c r="AI278" s="164"/>
      <c r="AJ278" s="263">
        <v>44347</v>
      </c>
    </row>
    <row r="279" spans="1:36" ht="12" hidden="1" customHeight="1">
      <c r="A279" s="286" t="s">
        <v>2036</v>
      </c>
      <c r="B279" s="76" t="s">
        <v>2037</v>
      </c>
      <c r="C279" s="212" t="s">
        <v>16</v>
      </c>
      <c r="D279" s="212" t="s">
        <v>45</v>
      </c>
      <c r="E279" s="212" t="s">
        <v>18</v>
      </c>
      <c r="F279" s="212" t="s">
        <v>939</v>
      </c>
      <c r="G279" s="81" t="s">
        <v>2038</v>
      </c>
      <c r="H279" s="76" t="s">
        <v>2037</v>
      </c>
      <c r="I279" s="87" t="s">
        <v>2039</v>
      </c>
      <c r="J279" s="213"/>
      <c r="K279" s="95" t="s">
        <v>507</v>
      </c>
      <c r="L279" s="38" t="s">
        <v>905</v>
      </c>
      <c r="M279" s="219" t="s">
        <v>505</v>
      </c>
      <c r="N279" s="285" t="s">
        <v>2040</v>
      </c>
      <c r="O279" s="182"/>
      <c r="P279" s="182"/>
      <c r="Q279" s="99" t="s">
        <v>1340</v>
      </c>
      <c r="R279" s="71" t="s">
        <v>1341</v>
      </c>
      <c r="S279" s="71" t="s">
        <v>1342</v>
      </c>
      <c r="T279" s="124" t="s">
        <v>1343</v>
      </c>
      <c r="U279" s="97" t="s">
        <v>1344</v>
      </c>
      <c r="V279" s="97" t="s">
        <v>2041</v>
      </c>
      <c r="W279" s="71"/>
      <c r="X279" s="71" t="s">
        <v>1345</v>
      </c>
      <c r="Y279" s="71" t="s">
        <v>2029</v>
      </c>
      <c r="Z279" s="214"/>
      <c r="AA279" s="185"/>
      <c r="AB279" s="182"/>
      <c r="AC279" s="52"/>
      <c r="AD279" s="52"/>
      <c r="AE279" s="52"/>
      <c r="AF279" s="52"/>
      <c r="AG279" s="52"/>
      <c r="AH279" s="260" t="s">
        <v>842</v>
      </c>
      <c r="AI279" s="164"/>
      <c r="AJ279" s="263">
        <v>44320</v>
      </c>
    </row>
    <row r="280" spans="1:36" ht="12" hidden="1" customHeight="1">
      <c r="A280" s="286" t="s">
        <v>2042</v>
      </c>
      <c r="B280" s="73" t="s">
        <v>2043</v>
      </c>
      <c r="C280" s="212" t="s">
        <v>16</v>
      </c>
      <c r="D280" s="212" t="s">
        <v>45</v>
      </c>
      <c r="E280" s="212" t="s">
        <v>18</v>
      </c>
      <c r="F280" s="212" t="s">
        <v>939</v>
      </c>
      <c r="G280" s="81" t="s">
        <v>2044</v>
      </c>
      <c r="H280" s="76" t="s">
        <v>815</v>
      </c>
      <c r="I280" s="87" t="s">
        <v>2045</v>
      </c>
      <c r="J280" s="215"/>
      <c r="K280" s="95" t="s">
        <v>507</v>
      </c>
      <c r="L280" s="38" t="s">
        <v>905</v>
      </c>
      <c r="M280" s="219" t="s">
        <v>505</v>
      </c>
      <c r="N280" s="285" t="s">
        <v>2040</v>
      </c>
      <c r="O280" s="215"/>
      <c r="P280" s="215"/>
      <c r="Q280" s="99" t="s">
        <v>1340</v>
      </c>
      <c r="R280" s="71" t="s">
        <v>1341</v>
      </c>
      <c r="S280" s="71" t="s">
        <v>1342</v>
      </c>
      <c r="T280" s="54" t="s">
        <v>1343</v>
      </c>
      <c r="U280" s="97" t="s">
        <v>1344</v>
      </c>
      <c r="V280" s="97" t="s">
        <v>2046</v>
      </c>
      <c r="W280" s="71"/>
      <c r="X280" s="71" t="s">
        <v>1345</v>
      </c>
      <c r="Y280" s="71" t="s">
        <v>2029</v>
      </c>
      <c r="Z280" s="214"/>
      <c r="AA280" s="216"/>
      <c r="AB280" s="215"/>
      <c r="AC280" s="217"/>
      <c r="AD280" s="217"/>
      <c r="AE280" s="217"/>
      <c r="AF280" s="217"/>
      <c r="AG280" s="217"/>
      <c r="AH280" s="260" t="s">
        <v>842</v>
      </c>
      <c r="AI280" s="157"/>
      <c r="AJ280" s="263">
        <v>44320</v>
      </c>
    </row>
    <row r="281" spans="1:36" ht="12" hidden="1" customHeight="1">
      <c r="A281" s="286" t="s">
        <v>2047</v>
      </c>
      <c r="B281" s="73" t="s">
        <v>2048</v>
      </c>
      <c r="C281" s="212" t="s">
        <v>16</v>
      </c>
      <c r="D281" s="212" t="s">
        <v>45</v>
      </c>
      <c r="E281" s="212" t="s">
        <v>18</v>
      </c>
      <c r="F281" s="212" t="s">
        <v>939</v>
      </c>
      <c r="G281" s="81" t="s">
        <v>2049</v>
      </c>
      <c r="H281" s="73" t="s">
        <v>2048</v>
      </c>
      <c r="I281" s="87" t="s">
        <v>2050</v>
      </c>
      <c r="J281" s="213"/>
      <c r="K281" s="95" t="s">
        <v>507</v>
      </c>
      <c r="L281" s="38" t="s">
        <v>905</v>
      </c>
      <c r="M281" s="219" t="s">
        <v>505</v>
      </c>
      <c r="N281" s="285" t="s">
        <v>2051</v>
      </c>
      <c r="O281" s="182"/>
      <c r="P281" s="182"/>
      <c r="Q281" s="99" t="s">
        <v>1340</v>
      </c>
      <c r="R281" s="71" t="s">
        <v>1341</v>
      </c>
      <c r="S281" s="71" t="s">
        <v>1342</v>
      </c>
      <c r="T281" s="54" t="s">
        <v>1343</v>
      </c>
      <c r="U281" s="97" t="s">
        <v>2052</v>
      </c>
      <c r="V281" s="97" t="s">
        <v>2053</v>
      </c>
      <c r="W281" s="71"/>
      <c r="X281" s="71" t="s">
        <v>1345</v>
      </c>
      <c r="Y281" s="71" t="s">
        <v>2029</v>
      </c>
      <c r="Z281" s="214"/>
      <c r="AA281" s="185"/>
      <c r="AB281" s="182"/>
      <c r="AC281" s="52"/>
      <c r="AD281" s="52"/>
      <c r="AE281" s="52"/>
      <c r="AF281" s="52"/>
      <c r="AG281" s="52"/>
      <c r="AH281" s="260" t="s">
        <v>842</v>
      </c>
      <c r="AI281" s="164"/>
      <c r="AJ281" s="263">
        <v>44320</v>
      </c>
    </row>
    <row r="282" spans="1:36" ht="12" hidden="1" customHeight="1">
      <c r="A282" s="286" t="s">
        <v>2054</v>
      </c>
      <c r="B282" s="73" t="s">
        <v>2055</v>
      </c>
      <c r="C282" s="212" t="s">
        <v>16</v>
      </c>
      <c r="D282" s="212" t="s">
        <v>45</v>
      </c>
      <c r="E282" s="212" t="s">
        <v>18</v>
      </c>
      <c r="F282" s="212" t="s">
        <v>939</v>
      </c>
      <c r="G282" s="81" t="s">
        <v>2056</v>
      </c>
      <c r="H282" s="73" t="s">
        <v>2055</v>
      </c>
      <c r="I282" s="87" t="s">
        <v>2057</v>
      </c>
      <c r="J282" s="213"/>
      <c r="K282" s="95" t="s">
        <v>507</v>
      </c>
      <c r="L282" s="38" t="s">
        <v>905</v>
      </c>
      <c r="M282" s="219" t="s">
        <v>505</v>
      </c>
      <c r="N282" s="285" t="s">
        <v>2058</v>
      </c>
      <c r="O282" s="182"/>
      <c r="P282" s="182"/>
      <c r="Q282" s="99" t="s">
        <v>1340</v>
      </c>
      <c r="R282" s="71" t="s">
        <v>1341</v>
      </c>
      <c r="S282" s="71" t="s">
        <v>1342</v>
      </c>
      <c r="T282" s="54" t="s">
        <v>1343</v>
      </c>
      <c r="U282" s="97" t="s">
        <v>2059</v>
      </c>
      <c r="V282" s="97" t="s">
        <v>2060</v>
      </c>
      <c r="W282" s="71"/>
      <c r="X282" s="71" t="s">
        <v>1345</v>
      </c>
      <c r="Y282" s="71" t="s">
        <v>2029</v>
      </c>
      <c r="Z282" s="214"/>
      <c r="AA282" s="185"/>
      <c r="AB282" s="182"/>
      <c r="AC282" s="52"/>
      <c r="AD282" s="52"/>
      <c r="AE282" s="52"/>
      <c r="AF282" s="52"/>
      <c r="AG282" s="52"/>
      <c r="AH282" s="260" t="s">
        <v>842</v>
      </c>
      <c r="AI282" s="164"/>
      <c r="AJ282" s="263">
        <v>44347</v>
      </c>
    </row>
    <row r="283" spans="1:36" ht="12" hidden="1" customHeight="1">
      <c r="A283" s="286" t="s">
        <v>2061</v>
      </c>
      <c r="B283" s="73" t="s">
        <v>2062</v>
      </c>
      <c r="C283" s="212" t="s">
        <v>16</v>
      </c>
      <c r="D283" s="212" t="s">
        <v>45</v>
      </c>
      <c r="E283" s="212" t="s">
        <v>18</v>
      </c>
      <c r="F283" s="212" t="s">
        <v>939</v>
      </c>
      <c r="G283" s="81" t="s">
        <v>2063</v>
      </c>
      <c r="H283" s="73" t="s">
        <v>2062</v>
      </c>
      <c r="I283" s="87" t="s">
        <v>2064</v>
      </c>
      <c r="J283" s="213"/>
      <c r="K283" s="95" t="s">
        <v>1382</v>
      </c>
      <c r="L283" s="38" t="s">
        <v>905</v>
      </c>
      <c r="M283" s="219" t="s">
        <v>505</v>
      </c>
      <c r="N283" s="285" t="s">
        <v>2040</v>
      </c>
      <c r="O283" s="182"/>
      <c r="P283" s="182"/>
      <c r="Q283" s="99" t="s">
        <v>1340</v>
      </c>
      <c r="R283" s="71" t="s">
        <v>1341</v>
      </c>
      <c r="S283" s="71" t="s">
        <v>1342</v>
      </c>
      <c r="T283" s="54" t="s">
        <v>1343</v>
      </c>
      <c r="U283" s="97" t="s">
        <v>2059</v>
      </c>
      <c r="V283" s="97" t="s">
        <v>2060</v>
      </c>
      <c r="W283" s="71"/>
      <c r="X283" s="71" t="s">
        <v>1345</v>
      </c>
      <c r="Y283" s="71" t="s">
        <v>2029</v>
      </c>
      <c r="Z283" s="214"/>
      <c r="AA283" s="185"/>
      <c r="AB283" s="182"/>
      <c r="AC283" s="52"/>
      <c r="AD283" s="52"/>
      <c r="AE283" s="52"/>
      <c r="AF283" s="52"/>
      <c r="AG283" s="52"/>
      <c r="AH283" s="260" t="s">
        <v>842</v>
      </c>
      <c r="AI283" s="164"/>
      <c r="AJ283" s="263">
        <v>44320</v>
      </c>
    </row>
    <row r="284" spans="1:36" ht="12" hidden="1" customHeight="1">
      <c r="A284" s="286" t="s">
        <v>2065</v>
      </c>
      <c r="B284" s="218" t="s">
        <v>2066</v>
      </c>
      <c r="C284" s="212" t="s">
        <v>16</v>
      </c>
      <c r="D284" s="212" t="s">
        <v>45</v>
      </c>
      <c r="E284" s="212" t="s">
        <v>18</v>
      </c>
      <c r="F284" s="212" t="s">
        <v>939</v>
      </c>
      <c r="G284" s="81" t="s">
        <v>2067</v>
      </c>
      <c r="H284" s="218" t="s">
        <v>2066</v>
      </c>
      <c r="I284" s="87" t="s">
        <v>2068</v>
      </c>
      <c r="J284" s="213"/>
      <c r="K284" s="95" t="s">
        <v>507</v>
      </c>
      <c r="L284" s="38" t="s">
        <v>905</v>
      </c>
      <c r="M284" s="219" t="s">
        <v>505</v>
      </c>
      <c r="N284" s="285" t="s">
        <v>2040</v>
      </c>
      <c r="O284" s="182"/>
      <c r="P284" s="182"/>
      <c r="Q284" s="99" t="s">
        <v>1340</v>
      </c>
      <c r="R284" s="71" t="s">
        <v>1341</v>
      </c>
      <c r="S284" s="71" t="s">
        <v>1342</v>
      </c>
      <c r="T284" s="54" t="s">
        <v>1343</v>
      </c>
      <c r="U284" s="97" t="s">
        <v>2059</v>
      </c>
      <c r="V284" s="97" t="s">
        <v>2060</v>
      </c>
      <c r="W284" s="71"/>
      <c r="X284" s="71" t="s">
        <v>1345</v>
      </c>
      <c r="Y284" s="71" t="s">
        <v>2029</v>
      </c>
      <c r="Z284" s="214"/>
      <c r="AA284" s="185"/>
      <c r="AB284" s="182"/>
      <c r="AC284" s="52"/>
      <c r="AD284" s="52"/>
      <c r="AE284" s="52"/>
      <c r="AF284" s="52"/>
      <c r="AG284" s="52"/>
      <c r="AH284" s="260" t="s">
        <v>842</v>
      </c>
      <c r="AI284" s="164"/>
      <c r="AJ284" s="263">
        <v>44320</v>
      </c>
    </row>
    <row r="285" spans="1:36" ht="12" hidden="1" customHeight="1">
      <c r="A285" s="286" t="s">
        <v>2069</v>
      </c>
      <c r="B285" s="76" t="s">
        <v>2070</v>
      </c>
      <c r="C285" s="212" t="s">
        <v>16</v>
      </c>
      <c r="D285" s="212" t="s">
        <v>45</v>
      </c>
      <c r="E285" s="212" t="s">
        <v>18</v>
      </c>
      <c r="F285" s="212" t="s">
        <v>939</v>
      </c>
      <c r="G285" s="81" t="s">
        <v>2071</v>
      </c>
      <c r="H285" s="76" t="s">
        <v>2070</v>
      </c>
      <c r="I285" s="87" t="s">
        <v>2072</v>
      </c>
      <c r="J285" s="213"/>
      <c r="K285" s="95" t="s">
        <v>2073</v>
      </c>
      <c r="L285" s="38" t="s">
        <v>905</v>
      </c>
      <c r="M285" s="219" t="s">
        <v>505</v>
      </c>
      <c r="N285" s="285" t="s">
        <v>2040</v>
      </c>
      <c r="O285" s="182"/>
      <c r="P285" s="182"/>
      <c r="Q285" s="99" t="s">
        <v>1340</v>
      </c>
      <c r="R285" s="71" t="s">
        <v>1341</v>
      </c>
      <c r="S285" s="71" t="s">
        <v>1342</v>
      </c>
      <c r="T285" s="54" t="s">
        <v>1343</v>
      </c>
      <c r="U285" s="97" t="s">
        <v>2059</v>
      </c>
      <c r="V285" s="97" t="s">
        <v>2060</v>
      </c>
      <c r="W285" s="71"/>
      <c r="X285" s="71" t="s">
        <v>1345</v>
      </c>
      <c r="Y285" s="71" t="s">
        <v>2029</v>
      </c>
      <c r="Z285" s="214"/>
      <c r="AA285" s="185"/>
      <c r="AB285" s="182"/>
      <c r="AC285" s="52"/>
      <c r="AD285" s="52"/>
      <c r="AE285" s="52"/>
      <c r="AF285" s="52"/>
      <c r="AG285" s="52"/>
      <c r="AH285" s="260" t="s">
        <v>842</v>
      </c>
      <c r="AI285" s="164"/>
      <c r="AJ285" s="263">
        <v>44320</v>
      </c>
    </row>
    <row r="286" spans="1:36" ht="12" hidden="1" customHeight="1">
      <c r="A286" s="97" t="s">
        <v>2074</v>
      </c>
      <c r="B286" s="76" t="s">
        <v>2075</v>
      </c>
      <c r="C286" s="212" t="s">
        <v>16</v>
      </c>
      <c r="D286" s="212" t="s">
        <v>45</v>
      </c>
      <c r="E286" s="212" t="s">
        <v>18</v>
      </c>
      <c r="F286" s="212" t="s">
        <v>939</v>
      </c>
      <c r="G286" s="81" t="s">
        <v>2076</v>
      </c>
      <c r="H286" s="76" t="s">
        <v>2075</v>
      </c>
      <c r="I286" s="87" t="s">
        <v>2077</v>
      </c>
      <c r="J286" s="213"/>
      <c r="K286" s="95" t="s">
        <v>507</v>
      </c>
      <c r="L286" s="38" t="s">
        <v>905</v>
      </c>
      <c r="M286" s="219" t="s">
        <v>505</v>
      </c>
      <c r="N286" s="285" t="s">
        <v>2051</v>
      </c>
      <c r="O286" s="182"/>
      <c r="P286" s="182"/>
      <c r="Q286" s="99" t="s">
        <v>1340</v>
      </c>
      <c r="R286" s="71" t="s">
        <v>1341</v>
      </c>
      <c r="S286" s="71" t="s">
        <v>1342</v>
      </c>
      <c r="T286" s="54" t="s">
        <v>1343</v>
      </c>
      <c r="U286" s="97" t="s">
        <v>2078</v>
      </c>
      <c r="V286" s="97" t="s">
        <v>2079</v>
      </c>
      <c r="W286" s="71"/>
      <c r="X286" s="71" t="s">
        <v>1345</v>
      </c>
      <c r="Y286" s="71" t="s">
        <v>2029</v>
      </c>
      <c r="Z286" s="214"/>
      <c r="AA286" s="185"/>
      <c r="AB286" s="182"/>
      <c r="AC286" s="52"/>
      <c r="AD286" s="52"/>
      <c r="AE286" s="52"/>
      <c r="AF286" s="52"/>
      <c r="AG286" s="52"/>
      <c r="AH286" s="260" t="s">
        <v>842</v>
      </c>
      <c r="AI286" s="164"/>
      <c r="AJ286" s="263">
        <v>44320</v>
      </c>
    </row>
    <row r="287" spans="1:36" ht="12" hidden="1" customHeight="1">
      <c r="A287" s="97" t="s">
        <v>2080</v>
      </c>
      <c r="B287" s="76" t="s">
        <v>2081</v>
      </c>
      <c r="C287" s="212" t="s">
        <v>1732</v>
      </c>
      <c r="D287" s="212" t="s">
        <v>45</v>
      </c>
      <c r="E287" s="212" t="s">
        <v>18</v>
      </c>
      <c r="F287" s="212" t="s">
        <v>939</v>
      </c>
      <c r="G287" s="81" t="s">
        <v>2082</v>
      </c>
      <c r="H287" s="76" t="s">
        <v>2083</v>
      </c>
      <c r="I287" s="87" t="s">
        <v>2084</v>
      </c>
      <c r="J287" s="213"/>
      <c r="K287" s="95" t="s">
        <v>507</v>
      </c>
      <c r="L287" s="38" t="s">
        <v>1799</v>
      </c>
      <c r="M287" s="219" t="s">
        <v>912</v>
      </c>
      <c r="N287" s="285" t="s">
        <v>2085</v>
      </c>
      <c r="O287" s="182"/>
      <c r="P287" s="182"/>
      <c r="Q287" s="99" t="s">
        <v>2086</v>
      </c>
      <c r="R287" s="71" t="s">
        <v>1798</v>
      </c>
      <c r="S287" s="71" t="s">
        <v>1799</v>
      </c>
      <c r="T287" s="54"/>
      <c r="U287" s="97"/>
      <c r="V287" s="97"/>
      <c r="W287" s="71"/>
      <c r="X287" s="71"/>
      <c r="Y287" s="71"/>
      <c r="Z287" s="214"/>
      <c r="AA287" s="185"/>
      <c r="AB287" s="182"/>
      <c r="AC287" s="52"/>
      <c r="AD287" s="52"/>
      <c r="AE287" s="52"/>
      <c r="AF287" s="52"/>
      <c r="AG287" s="52"/>
      <c r="AH287" s="260" t="s">
        <v>843</v>
      </c>
      <c r="AI287" s="164"/>
      <c r="AJ287" s="276"/>
    </row>
  </sheetData>
  <autoFilter ref="A1:AJ287">
    <filterColumn colId="6">
      <filters>
        <filter val="BFE-70000"/>
      </filters>
    </filterColumn>
  </autoFilter>
  <phoneticPr fontId="3" type="noConversion"/>
  <conditionalFormatting sqref="T247 T2:T39">
    <cfRule type="cellIs" dxfId="26" priority="27" operator="equal">
      <formula>"Y"</formula>
    </cfRule>
  </conditionalFormatting>
  <conditionalFormatting sqref="T41:T42 T70:T75 T44:T68 T77:T121 T127 T129:T203">
    <cfRule type="cellIs" dxfId="25" priority="26" operator="equal">
      <formula>"Y"</formula>
    </cfRule>
  </conditionalFormatting>
  <conditionalFormatting sqref="T204:T205 T209:T211 T213:T242">
    <cfRule type="cellIs" dxfId="24" priority="25" operator="equal">
      <formula>"Y"</formula>
    </cfRule>
  </conditionalFormatting>
  <conditionalFormatting sqref="T212 T206 T208">
    <cfRule type="cellIs" dxfId="23" priority="24" operator="equal">
      <formula>"Y"</formula>
    </cfRule>
  </conditionalFormatting>
  <conditionalFormatting sqref="T76">
    <cfRule type="cellIs" dxfId="22" priority="23" operator="equal">
      <formula>"Y"</formula>
    </cfRule>
  </conditionalFormatting>
  <conditionalFormatting sqref="T69">
    <cfRule type="cellIs" dxfId="21" priority="22" operator="equal">
      <formula>"Y"</formula>
    </cfRule>
  </conditionalFormatting>
  <conditionalFormatting sqref="T243">
    <cfRule type="cellIs" dxfId="20" priority="21" operator="equal">
      <formula>"Y"</formula>
    </cfRule>
  </conditionalFormatting>
  <conditionalFormatting sqref="T244">
    <cfRule type="cellIs" dxfId="19" priority="20" operator="equal">
      <formula>"Y"</formula>
    </cfRule>
  </conditionalFormatting>
  <conditionalFormatting sqref="T245">
    <cfRule type="cellIs" dxfId="18" priority="19" operator="equal">
      <formula>"Y"</formula>
    </cfRule>
  </conditionalFormatting>
  <conditionalFormatting sqref="T43">
    <cfRule type="cellIs" dxfId="17" priority="18" operator="equal">
      <formula>"Y"</formula>
    </cfRule>
  </conditionalFormatting>
  <conditionalFormatting sqref="T40">
    <cfRule type="cellIs" dxfId="16" priority="17" operator="equal">
      <formula>"Y"</formula>
    </cfRule>
  </conditionalFormatting>
  <conditionalFormatting sqref="T246">
    <cfRule type="cellIs" dxfId="15" priority="16" operator="equal">
      <formula>"Y"</formula>
    </cfRule>
  </conditionalFormatting>
  <conditionalFormatting sqref="T207">
    <cfRule type="cellIs" dxfId="14" priority="15" operator="equal">
      <formula>"Y"</formula>
    </cfRule>
  </conditionalFormatting>
  <conditionalFormatting sqref="T276">
    <cfRule type="cellIs" dxfId="13" priority="14" operator="equal">
      <formula>"Y"</formula>
    </cfRule>
  </conditionalFormatting>
  <conditionalFormatting sqref="T122">
    <cfRule type="cellIs" dxfId="12" priority="13" operator="equal">
      <formula>"Y"</formula>
    </cfRule>
  </conditionalFormatting>
  <conditionalFormatting sqref="T123">
    <cfRule type="cellIs" dxfId="11" priority="12" operator="equal">
      <formula>"Y"</formula>
    </cfRule>
  </conditionalFormatting>
  <conditionalFormatting sqref="T124">
    <cfRule type="cellIs" dxfId="10" priority="11" operator="equal">
      <formula>"Y"</formula>
    </cfRule>
  </conditionalFormatting>
  <conditionalFormatting sqref="T125">
    <cfRule type="cellIs" dxfId="9" priority="10" operator="equal">
      <formula>"Y"</formula>
    </cfRule>
  </conditionalFormatting>
  <conditionalFormatting sqref="T126">
    <cfRule type="cellIs" dxfId="8" priority="9" operator="equal">
      <formula>"Y"</formula>
    </cfRule>
  </conditionalFormatting>
  <conditionalFormatting sqref="T128">
    <cfRule type="cellIs" dxfId="7" priority="8" operator="equal">
      <formula>"Y"</formula>
    </cfRule>
  </conditionalFormatting>
  <conditionalFormatting sqref="T277">
    <cfRule type="cellIs" dxfId="6" priority="7" operator="equal">
      <formula>"Y"</formula>
    </cfRule>
  </conditionalFormatting>
  <conditionalFormatting sqref="T278">
    <cfRule type="cellIs" dxfId="5" priority="6" operator="equal">
      <formula>"Y"</formula>
    </cfRule>
  </conditionalFormatting>
  <conditionalFormatting sqref="T279">
    <cfRule type="cellIs" dxfId="4" priority="5" operator="equal">
      <formula>"Y"</formula>
    </cfRule>
  </conditionalFormatting>
  <conditionalFormatting sqref="T280">
    <cfRule type="cellIs" dxfId="3" priority="4" operator="equal">
      <formula>"Y"</formula>
    </cfRule>
  </conditionalFormatting>
  <conditionalFormatting sqref="T281">
    <cfRule type="cellIs" dxfId="2" priority="3" operator="equal">
      <formula>"Y"</formula>
    </cfRule>
  </conditionalFormatting>
  <conditionalFormatting sqref="T282:T286">
    <cfRule type="cellIs" dxfId="1" priority="2" operator="equal">
      <formula>"Y"</formula>
    </cfRule>
  </conditionalFormatting>
  <conditionalFormatting sqref="T287">
    <cfRule type="cellIs" dxfId="0" priority="1" operator="equal">
      <formula>"Y"</formula>
    </cfRule>
  </conditionalFormatting>
  <dataValidations count="9">
    <dataValidation type="list" allowBlank="1" showInputMessage="1" showErrorMessage="1" sqref="E2:E287">
      <formula1>"신규,변경,삭제,추가"</formula1>
    </dataValidation>
    <dataValidation type="list" allowBlank="1" showInputMessage="1" showErrorMessage="1" sqref="C2:C287">
      <formula1>"기능,비기능"</formula1>
    </dataValidation>
    <dataValidation type="list" allowBlank="1" showInputMessage="1" showErrorMessage="1" sqref="F276 F2:F247">
      <formula1>"구축요건정의서,프로젝트계획서,회의록,전산개발의뢰서"</formula1>
    </dataValidation>
    <dataValidation type="list" allowBlank="1" showInputMessage="1" showErrorMessage="1" sqref="F248:F275">
      <formula1>"구축요건정의서,전산개발의뢰서,프로젝트계획서,회의록,추가요건"</formula1>
    </dataValidation>
    <dataValidation type="list" allowBlank="1" showInputMessage="1" showErrorMessage="1" sqref="T276:T286 T254:T257 T2:T247">
      <formula1>"Y,N"</formula1>
    </dataValidation>
    <dataValidation type="list" allowBlank="1" showInputMessage="1" showErrorMessage="1" sqref="L214:L242">
      <formula1>"전문위원,인프라,공통,뱅킹,상품/외환,자산관리,모바일"</formula1>
    </dataValidation>
    <dataValidation type="list" allowBlank="1" showInputMessage="1" showErrorMessage="1" sqref="R29:R30 L204:L213 R142:R143 R123">
      <formula1>"전문위원,UXUI,응용개발-모바일,응용개발-공통뱅킹,응용개발-상품외환,응용개발-자산관리,응용개발-대응개발,인프라"</formula1>
    </dataValidation>
    <dataValidation type="list" allowBlank="1" showInputMessage="1" showErrorMessage="1" sqref="M93:M146 M2:M91 M148:M287">
      <formula1>"승인,조건부승인,거부,거부-통폐합,거부-이관"</formula1>
    </dataValidation>
    <dataValidation type="list" allowBlank="1" showInputMessage="1" showErrorMessage="1" sqref="D2:D132 D134:D287">
      <formula1>"요구사항정의,분석,설계,구현,테스트,이행"</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이름이 지정된 범위</vt:lpstr>
      </vt:variant>
      <vt:variant>
        <vt:i4>2</vt:i4>
      </vt:variant>
    </vt:vector>
  </HeadingPairs>
  <TitlesOfParts>
    <vt:vector size="12" baseType="lpstr">
      <vt:lpstr>표지</vt:lpstr>
      <vt:lpstr>개정이력</vt:lpstr>
      <vt:lpstr>(요건분리 전)요구사항명세서</vt:lpstr>
      <vt:lpstr>요구사항명세서</vt:lpstr>
      <vt:lpstr>피벗_SUMMAY(현황)</vt:lpstr>
      <vt:lpstr>피벗_SUMMARY(기능_비기능)</vt:lpstr>
      <vt:lpstr>작성가이드</vt:lpstr>
      <vt:lpstr>※(요약)확정현황</vt:lpstr>
      <vt:lpstr>(참고)요구사항ID채번</vt:lpstr>
      <vt:lpstr>감리제출용</vt:lpstr>
      <vt:lpstr>작성가이드!Print_Area</vt:lpstr>
      <vt:lpstr>요구사항명세서!Print_Titles</vt:lpstr>
    </vt:vector>
  </TitlesOfParts>
  <Company>국민은행</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방법론</dc:creator>
  <cp:lastModifiedBy>AutoAdmin</cp:lastModifiedBy>
  <cp:lastPrinted>2024-11-26T05:09:12Z</cp:lastPrinted>
  <dcterms:created xsi:type="dcterms:W3CDTF">2004-03-30T00:47:38Z</dcterms:created>
  <dcterms:modified xsi:type="dcterms:W3CDTF">2025-04-19T04:58:46Z</dcterms:modified>
</cp:coreProperties>
</file>